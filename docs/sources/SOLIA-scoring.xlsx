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Grille conversion" sheetId="2" state="visible" r:id="rId4"/>
    <sheet name="Grille engagement" sheetId="3" state="visible" r:id="rId5"/>
    <sheet name="Négatifs et paliers" sheetId="4" state="visible" r:id="rId6"/>
    <sheet name="Simulateur conversion" sheetId="5" state="visible" r:id="rId7"/>
    <sheet name="Simulateur engagement" sheetId="6" state="visible" r:id="rId8"/>
    <sheet name="Champs CRM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<sst xmlns="http://schemas.openxmlformats.org/spreadsheetml/2006/main" count="720" uniqueCount="394">
  <si>
    <t xml:space="preserve">Solia · Grille de lead scoring</t>
  </si>
  <si>
    <t xml:space="preserve">Base du cahier des charges CRM · version du 12/10/2026 (C6 et C18 retirés, poids alignés sur le document) · points de départ à recalibrer après 3 mois ou 30 réservations</t>
  </si>
  <si>
    <t xml:space="preserve">Deux scores sur 100</t>
  </si>
  <si>
    <t xml:space="preserve">Score de conversion (Contact à Réservé) = profil (30 max) + comportement (70 max) + points négatifs. Score d'engagement (Réservé à Abonné) = points obtenus ÷ points atteignables à date × 100.</t>
  </si>
  <si>
    <t xml:space="preserve">Règle de preuve</t>
  </si>
  <si>
    <t xml:space="preserve">Pas de preuve, pas de points. Chaque critère a une source vérifiable dans le CRM (colonne « Preuve »). On score les clics, jamais les ouvertures d'e-mail.</t>
  </si>
  <si>
    <t xml:space="preserve">Grille identique</t>
  </si>
  <si>
    <t xml:space="preserve">Les mêmes points pour les trois cibles. La cible sert à attribuer la référente et au contrôle d'équité (onglet Pilotage du document).</t>
  </si>
  <si>
    <t xml:space="preserve">Indicateur seul</t>
  </si>
  <si>
    <t xml:space="preserve">Les scores aident à prioriser. Ils ne déclenchent aucune action automatique et ne décident rien seuls.</t>
  </si>
  <si>
    <t xml:space="preserve">Onglets</t>
  </si>
  <si>
    <t xml:space="preserve">Grille conversion · Grille engagement · Négatifs et paliers · Simulateur conversion · Simulateur engagement · Champs CRM.</t>
  </si>
  <si>
    <t xml:space="preserve">Comment modifier</t>
  </si>
  <si>
    <t xml:space="preserve">Changer un poids dans la colonne « Points » des grilles (bleu) : les simulateurs se recalculent. Dans les simulateurs, ne saisir que les cellules jaunes.</t>
  </si>
  <si>
    <t xml:space="preserve">Exemples préremplis</t>
  </si>
  <si>
    <t xml:space="preserve">Simulateur conversion : Monique, senior, jour 8 (attendu 77, Prêt à réserver). Simulateur engagement : Monique après son voyage, abonnée et active (attendu 81, Fidèle).</t>
  </si>
  <si>
    <t xml:space="preserve">Points négatifs</t>
  </si>
  <si>
    <t xml:space="preserve">Ils s'appliquent après les plafonds du score de conversion, et avant le prorata du score d'engagement.</t>
  </si>
  <si>
    <t xml:space="preserve">Légende</t>
  </si>
  <si>
    <t xml:space="preserve">Saisie</t>
  </si>
  <si>
    <t xml:space="preserve">Cellule à remplir (simulateurs)</t>
  </si>
  <si>
    <t xml:space="preserve">Poids modifiable (grilles), en bleu</t>
  </si>
  <si>
    <t xml:space="preserve">Calcul</t>
  </si>
  <si>
    <t xml:space="preserve">Formule, ne pas écraser</t>
  </si>
  <si>
    <t xml:space="preserve">Score de conversion · Contact à Réservé</t>
  </si>
  <si>
    <t xml:space="preserve">Profil plafonné à 30 · comportement plafonné à 70 · engagement digital (C4 à C8) plafonné à 12 · un seul critère d'origine</t>
  </si>
  <si>
    <t xml:space="preserve">Code</t>
  </si>
  <si>
    <t xml:space="preserve">Bloc</t>
  </si>
  <si>
    <t xml:space="preserve">Critère</t>
  </si>
  <si>
    <t xml:space="preserve">Points</t>
  </si>
  <si>
    <t xml:space="preserve">Plafond (fois)</t>
  </si>
  <si>
    <t xml:space="preserve">Points max</t>
  </si>
  <si>
    <t xml:space="preserve">Dégressif</t>
  </si>
  <si>
    <t xml:space="preserve">Process</t>
  </si>
  <si>
    <t xml:space="preserve">Preuve dans le CRM</t>
  </si>
  <si>
    <t xml:space="preserve">P1</t>
  </si>
  <si>
    <t xml:space="preserve">Profil</t>
  </si>
  <si>
    <t xml:space="preserve">Cible identifiée (senior, parent solo, célibataire)</t>
  </si>
  <si>
    <t xml:space="preserve">Non</t>
  </si>
  <si>
    <t xml:space="preserve">01, 03</t>
  </si>
  <si>
    <t xml:space="preserve">Champ cible, confirmé à la découverte</t>
  </si>
  <si>
    <t xml:space="preserve">Manuelle</t>
  </si>
  <si>
    <t xml:space="preserve">P2</t>
  </si>
  <si>
    <t xml:space="preserve">Coordonnée vérifiée</t>
  </si>
  <si>
    <t xml:space="preserve">01, 02</t>
  </si>
  <si>
    <t xml:space="preserve">E-mail délivré sans rebond ou appel abouti</t>
  </si>
  <si>
    <t xml:space="preserve">Automatique</t>
  </si>
  <si>
    <t xml:space="preserve">P3</t>
  </si>
  <si>
    <t xml:space="preserve">Consentement newsletter</t>
  </si>
  <si>
    <t xml:space="preserve">01</t>
  </si>
  <si>
    <t xml:space="preserve">Journal des consentements horodaté</t>
  </si>
  <si>
    <t xml:space="preserve">P4</t>
  </si>
  <si>
    <t xml:space="preserve">Consentement WhatsApp</t>
  </si>
  <si>
    <t xml:space="preserve">P5</t>
  </si>
  <si>
    <t xml:space="preserve">Envie de voyage qui correspond à un départ du planning</t>
  </si>
  <si>
    <t xml:space="preserve">Champ envie relié à un départ du planning</t>
  </si>
  <si>
    <t xml:space="preserve">P6</t>
  </si>
  <si>
    <t xml:space="preserve">Dates compatibles avec un départ ouvert (places restantes)</t>
  </si>
  <si>
    <t xml:space="preserve">03</t>
  </si>
  <si>
    <t xml:space="preserve">Contraintes de dates comparées au planning ; confirmées à l'oral ou par écrit</t>
  </si>
  <si>
    <t xml:space="preserve">Manuelle + planning</t>
  </si>
  <si>
    <t xml:space="preserve">P7</t>
  </si>
  <si>
    <t xml:space="preserve">Budget compatible avec le prix du départ visé</t>
  </si>
  <si>
    <t xml:space="preserve">Budget saisi en découverte</t>
  </si>
  <si>
    <t xml:space="preserve">C1</t>
  </si>
  <si>
    <t xml:space="preserve">Origine</t>
  </si>
  <si>
    <t xml:space="preserve">Recommandé par un parrain</t>
  </si>
  <si>
    <t xml:space="preserve">15, 01</t>
  </si>
  <si>
    <t xml:space="preserve">Code parrain saisi</t>
  </si>
  <si>
    <t xml:space="preserve">C2</t>
  </si>
  <si>
    <t xml:space="preserve">Rencontre en personne (stand, agence, partenaire)</t>
  </si>
  <si>
    <t xml:space="preserve">Origine saisie le jour même</t>
  </si>
  <si>
    <t xml:space="preserve">C3</t>
  </si>
  <si>
    <t xml:space="preserve">QR code ou formulaire du site</t>
  </si>
  <si>
    <t xml:space="preserve">Formulaire horodaté</t>
  </si>
  <si>
    <t xml:space="preserve">C4</t>
  </si>
  <si>
    <t xml:space="preserve">Digital</t>
  </si>
  <si>
    <t xml:space="preserve">Clic dans le message de bienvenue vers les offres</t>
  </si>
  <si>
    <t xml:space="preserve">Oui</t>
  </si>
  <si>
    <t xml:space="preserve">Lien tracké propre à la fiche</t>
  </si>
  <si>
    <t xml:space="preserve">C5</t>
  </si>
  <si>
    <t xml:space="preserve">Clic dans la newsletter vers une offre</t>
  </si>
  <si>
    <t xml:space="preserve">01, 14</t>
  </si>
  <si>
    <t xml:space="preserve">C7</t>
  </si>
  <si>
    <t xml:space="preserve">Commentaire ou DM sans question précise</t>
  </si>
  <si>
    <t xml:space="preserve">17</t>
  </si>
  <si>
    <t xml:space="preserve">Compte social rattaché à la fiche</t>
  </si>
  <si>
    <t xml:space="preserve">C8</t>
  </si>
  <si>
    <t xml:space="preserve">Programme téléchargé via formulaire</t>
  </si>
  <si>
    <t xml:space="preserve">02</t>
  </si>
  <si>
    <t xml:space="preserve">C9</t>
  </si>
  <si>
    <t xml:space="preserve">Demande</t>
  </si>
  <si>
    <t xml:space="preserve">Demande écrite avec une question sur un voyage</t>
  </si>
  <si>
    <t xml:space="preserve">Date et heure de la demande</t>
  </si>
  <si>
    <t xml:space="preserve">C10</t>
  </si>
  <si>
    <t xml:space="preserve">Appel entrant à l'agence</t>
  </si>
  <si>
    <t xml:space="preserve">Journal d'appel : date, heure, durée</t>
  </si>
  <si>
    <t xml:space="preserve">C11</t>
  </si>
  <si>
    <t xml:space="preserve">Visite spontanée à l'agence</t>
  </si>
  <si>
    <t xml:space="preserve">Visite saisie le jour même</t>
  </si>
  <si>
    <t xml:space="preserve">C12</t>
  </si>
  <si>
    <t xml:space="preserve">Réponse à une relance (J+3, J+7)</t>
  </si>
  <si>
    <t xml:space="preserve">02, 04</t>
  </si>
  <si>
    <t xml:space="preserve">Date de la réponse</t>
  </si>
  <si>
    <t xml:space="preserve">C13</t>
  </si>
  <si>
    <t xml:space="preserve">Découverte</t>
  </si>
  <si>
    <t xml:space="preserve">Rendez-vous découverte accepté</t>
  </si>
  <si>
    <t xml:space="preserve">Date du rendez-vous</t>
  </si>
  <si>
    <t xml:space="preserve">C14</t>
  </si>
  <si>
    <t xml:space="preserve">Rendez-vous découverte réalisé</t>
  </si>
  <si>
    <t xml:space="preserve">Notes de découverte</t>
  </si>
  <si>
    <t xml:space="preserve">C15</t>
  </si>
  <si>
    <t xml:space="preserve">Accord pour recevoir un devis</t>
  </si>
  <si>
    <t xml:space="preserve">Statut Devis envoyé</t>
  </si>
  <si>
    <t xml:space="preserve">C16</t>
  </si>
  <si>
    <t xml:space="preserve">Achat</t>
  </si>
  <si>
    <t xml:space="preserve">Appel de relance J+3 abouti</t>
  </si>
  <si>
    <t xml:space="preserve">04</t>
  </si>
  <si>
    <t xml:space="preserve">Journal d'appel</t>
  </si>
  <si>
    <t xml:space="preserve">C17</t>
  </si>
  <si>
    <t xml:space="preserve">Question sur les modalités (acompte, chèques-vacances, binôme)</t>
  </si>
  <si>
    <t xml:space="preserve">03, 04</t>
  </si>
  <si>
    <t xml:space="preserve">Note d'échange</t>
  </si>
  <si>
    <t xml:space="preserve">C19</t>
  </si>
  <si>
    <t xml:space="preserve">Venue à un événement ouvert à tous</t>
  </si>
  <si>
    <t xml:space="preserve">14</t>
  </si>
  <si>
    <t xml:space="preserve">Présence cochée</t>
  </si>
  <si>
    <t xml:space="preserve">C20</t>
  </si>
  <si>
    <t xml:space="preserve">Demande de liste d'attente sur un départ complet</t>
  </si>
  <si>
    <t xml:space="preserve">Liste d'attente du départ</t>
  </si>
  <si>
    <t xml:space="preserve">Profil (max théorique, plafond 30)</t>
  </si>
  <si>
    <t xml:space="preserve">Origine (seul le plus fort compte)</t>
  </si>
  <si>
    <t xml:space="preserve">Digital (plafond 12)</t>
  </si>
  <si>
    <t xml:space="preserve">Demande, découverte, achat (théorique)</t>
  </si>
  <si>
    <t xml:space="preserve">Comportement retenu (plafond 70)</t>
  </si>
  <si>
    <t xml:space="preserve">Contrôle : le profil doit valoir 30</t>
  </si>
  <si>
    <t xml:space="preserve">Score d'engagement · Réservé à Abonné</t>
  </si>
  <si>
    <t xml:space="preserve">Avant 20 · pendant 20 · après 25 · fidélité 35 (plafond) · calcul au prorata des points atteignables à date</t>
  </si>
  <si>
    <t xml:space="preserve">Règle</t>
  </si>
  <si>
    <t xml:space="preserve">Glissant</t>
  </si>
  <si>
    <t xml:space="preserve">E1</t>
  </si>
  <si>
    <t xml:space="preserve">Avant</t>
  </si>
  <si>
    <t xml:space="preserve">Appel de bienvenue abouti sous 48 h</t>
  </si>
  <si>
    <t xml:space="preserve">Oui = 4</t>
  </si>
  <si>
    <t xml:space="preserve">05</t>
  </si>
  <si>
    <t xml:space="preserve">Date de l'appel de bienvenue</t>
  </si>
  <si>
    <t xml:space="preserve">E2</t>
  </si>
  <si>
    <t xml:space="preserve">Message posté dans le groupe WhatsApp du voyage</t>
  </si>
  <si>
    <t xml:space="preserve">06</t>
  </si>
  <si>
    <t xml:space="preserve">Case cochée par la référente</t>
  </si>
  <si>
    <t xml:space="preserve">E3</t>
  </si>
  <si>
    <t xml:space="preserve">Solde réglé à l'échéance (J-60)</t>
  </si>
  <si>
    <t xml:space="preserve">Date et montant du solde</t>
  </si>
  <si>
    <t xml:space="preserve">E4</t>
  </si>
  <si>
    <t xml:space="preserve">Présent au Soli'apéro brise-glace</t>
  </si>
  <si>
    <t xml:space="preserve">Oui = 8</t>
  </si>
  <si>
    <t xml:space="preserve">07</t>
  </si>
  <si>
    <t xml:space="preserve">E5</t>
  </si>
  <si>
    <t xml:space="preserve">Pendant</t>
  </si>
  <si>
    <t xml:space="preserve">Satisfaction à chaud</t>
  </si>
  <si>
    <t xml:space="preserve">9 ou 10 = 12 ; 7 ou 8 = 6 ; 6 ou moins = 0</t>
  </si>
  <si>
    <t xml:space="preserve">08</t>
  </si>
  <si>
    <t xml:space="preserve">Note saisie par l'animatrice</t>
  </si>
  <si>
    <t xml:space="preserve">E6</t>
  </si>
  <si>
    <t xml:space="preserve">Aucun incident resté sans solution en fin de séjour</t>
  </si>
  <si>
    <t xml:space="preserve">08, 16</t>
  </si>
  <si>
    <t xml:space="preserve">Fiche incident résolue</t>
  </si>
  <si>
    <t xml:space="preserve">E7</t>
  </si>
  <si>
    <t xml:space="preserve">Photos ou messages partagés dans le groupe</t>
  </si>
  <si>
    <t xml:space="preserve">Case cochée par l'animatrice</t>
  </si>
  <si>
    <t xml:space="preserve">E8</t>
  </si>
  <si>
    <t xml:space="preserve">Après</t>
  </si>
  <si>
    <t xml:space="preserve">Présent au Soli'apéro retour</t>
  </si>
  <si>
    <t xml:space="preserve">10</t>
  </si>
  <si>
    <t xml:space="preserve">E9</t>
  </si>
  <si>
    <t xml:space="preserve">Note de recommandation (NPS)</t>
  </si>
  <si>
    <t xml:space="preserve">9 ou 10 = 10 ; 7 ou 8 = 5 ; 6 ou moins = 0</t>
  </si>
  <si>
    <t xml:space="preserve">12</t>
  </si>
  <si>
    <t xml:space="preserve">Réponse à l'enquête</t>
  </si>
  <si>
    <t xml:space="preserve">E10</t>
  </si>
  <si>
    <t xml:space="preserve">Avis Google publié</t>
  </si>
  <si>
    <t xml:space="preserve">Oui = 7</t>
  </si>
  <si>
    <t xml:space="preserve">12, 17</t>
  </si>
  <si>
    <t xml:space="preserve">Vérifié par Florentine</t>
  </si>
  <si>
    <t xml:space="preserve">E11</t>
  </si>
  <si>
    <t xml:space="preserve">Fidélité</t>
  </si>
  <si>
    <t xml:space="preserve">Abonnement souscrit et actif</t>
  </si>
  <si>
    <t xml:space="preserve">Oui = 10</t>
  </si>
  <si>
    <t xml:space="preserve">11, 13</t>
  </si>
  <si>
    <t xml:space="preserve">Statut Abonné</t>
  </si>
  <si>
    <t xml:space="preserve">E12</t>
  </si>
  <si>
    <t xml:space="preserve">Activité ou événement fréquenté dans les 30 derniers jours</t>
  </si>
  <si>
    <t xml:space="preserve">13, 14</t>
  </si>
  <si>
    <t xml:space="preserve">Participation cochée</t>
  </si>
  <si>
    <t xml:space="preserve">E13</t>
  </si>
  <si>
    <t xml:space="preserve">Au moins 3 participations sur 90 jours</t>
  </si>
  <si>
    <t xml:space="preserve">Oui = 5</t>
  </si>
  <si>
    <t xml:space="preserve">13</t>
  </si>
  <si>
    <t xml:space="preserve">Calcul sur les participations</t>
  </si>
  <si>
    <t xml:space="preserve">E14</t>
  </si>
  <si>
    <t xml:space="preserve">Filleul dont l'acompte est encaissé</t>
  </si>
  <si>
    <t xml:space="preserve">5 par filleul, 2 au maximum</t>
  </si>
  <si>
    <t xml:space="preserve">15</t>
  </si>
  <si>
    <t xml:space="preserve">Lien parrain-filleul</t>
  </si>
  <si>
    <t xml:space="preserve">E15</t>
  </si>
  <si>
    <t xml:space="preserve">Nouveau voyage réservé dans les 12 mois</t>
  </si>
  <si>
    <t xml:space="preserve">Statut Réservé</t>
  </si>
  <si>
    <t xml:space="preserve">Avant (plafond 20)</t>
  </si>
  <si>
    <t xml:space="preserve">Pendant (plafond 20)</t>
  </si>
  <si>
    <t xml:space="preserve">Après (plafond 25)</t>
  </si>
  <si>
    <t xml:space="preserve">Fidélité (plafond 35)</t>
  </si>
  <si>
    <t xml:space="preserve">E14 compté deux fois (2 filleuls)</t>
  </si>
  <si>
    <t xml:space="preserve">Total (doit valoir 100)</t>
  </si>
  <si>
    <t xml:space="preserve">Points négatifs, dégressivité et paliers</t>
  </si>
  <si>
    <t xml:space="preserve">Le score final reste entre 0 et 100</t>
  </si>
  <si>
    <t xml:space="preserve">Score</t>
  </si>
  <si>
    <t xml:space="preserve">Événement</t>
  </si>
  <si>
    <t xml:space="preserve">Levée</t>
  </si>
  <si>
    <t xml:space="preserve">N1</t>
  </si>
  <si>
    <t xml:space="preserve">Conversion</t>
  </si>
  <si>
    <t xml:space="preserve">Désinscription de la newsletter</t>
  </si>
  <si>
    <t xml:space="preserve">Réinscription</t>
  </si>
  <si>
    <t xml:space="preserve">N2</t>
  </si>
  <si>
    <t xml:space="preserve">Retrait du consentement WhatsApp</t>
  </si>
  <si>
    <t xml:space="preserve">Nouveau consentement</t>
  </si>
  <si>
    <t xml:space="preserve">N3</t>
  </si>
  <si>
    <t xml:space="preserve">Coordonnée invalide (rebond, numéro non attribué) ; P2 retiré</t>
  </si>
  <si>
    <t xml:space="preserve">Coordonnée corrigée</t>
  </si>
  <si>
    <t xml:space="preserve">N4</t>
  </si>
  <si>
    <t xml:space="preserve">Rendez-vous découverte non honoré sans prévenir</t>
  </si>
  <si>
    <t xml:space="preserve">Rendez-vous réalisé</t>
  </si>
  <si>
    <t xml:space="preserve">N5</t>
  </si>
  <si>
    <t xml:space="preserve">Devis arrivé à expiration sans réponse (J+30)</t>
  </si>
  <si>
    <t xml:space="preserve">Nouvelle demande</t>
  </si>
  <si>
    <t xml:space="preserve">N6</t>
  </si>
  <si>
    <t xml:space="preserve">Refus explicite (« pas pour le moment »)</t>
  </si>
  <si>
    <t xml:space="preserve">M1</t>
  </si>
  <si>
    <t xml:space="preserve">Engagement</t>
  </si>
  <si>
    <t xml:space="preserve">Réclamation ouverte</t>
  </si>
  <si>
    <t xml:space="preserve">16</t>
  </si>
  <si>
    <t xml:space="preserve">Résolution confirmée à J+7</t>
  </si>
  <si>
    <t xml:space="preserve">M2</t>
  </si>
  <si>
    <t xml:space="preserve">Avis public de 3 étoiles ou moins</t>
  </si>
  <si>
    <t xml:space="preserve">Résolution (process 16)</t>
  </si>
  <si>
    <t xml:space="preserve">M3</t>
  </si>
  <si>
    <t xml:space="preserve">Mise en demeure pour le solde (J-57)</t>
  </si>
  <si>
    <t xml:space="preserve">Solde encaissé</t>
  </si>
  <si>
    <t xml:space="preserve">M4</t>
  </si>
  <si>
    <t xml:space="preserve">Abonné sans activité depuis 60 jours</t>
  </si>
  <si>
    <t xml:space="preserve">Nouvelle participation</t>
  </si>
  <si>
    <t xml:space="preserve">M5</t>
  </si>
  <si>
    <t xml:space="preserve">Clôture du score (pas de points) : passage en Perdu (comportement remis à 0, profil conservé), annulation, résiliation (score figé, motif obligatoire).</t>
  </si>
  <si>
    <t xml:space="preserve">Dégressivité du comportement (C4 à C20)</t>
  </si>
  <si>
    <t xml:space="preserve">Dès (jours)</t>
  </si>
  <si>
    <t xml:space="preserve">Jusqu'à</t>
  </si>
  <si>
    <t xml:space="preserve">Coefficient</t>
  </si>
  <si>
    <t xml:space="preserve">au-delà</t>
  </si>
  <si>
    <t xml:space="preserve">Origine (C1 à C3) et profil : pas de dégressivité. P6 tombe à 0 quand le départ visé est complet ou passé.</t>
  </si>
  <si>
    <t xml:space="preserve">Paliers de lecture</t>
  </si>
  <si>
    <t xml:space="preserve">Dès</t>
  </si>
  <si>
    <t xml:space="preserve">Froid</t>
  </si>
  <si>
    <t xml:space="preserve">Distant</t>
  </si>
  <si>
    <t xml:space="preserve">Tiède</t>
  </si>
  <si>
    <t xml:space="preserve">Engagé</t>
  </si>
  <si>
    <t xml:space="preserve">Chaud</t>
  </si>
  <si>
    <t xml:space="preserve">Fidèle</t>
  </si>
  <si>
    <t xml:space="preserve">Prêt à réserver</t>
  </si>
  <si>
    <t xml:space="preserve">Ambassadeur</t>
  </si>
  <si>
    <t xml:space="preserve">Simulateur · score de conversion</t>
  </si>
  <si>
    <t xml:space="preserve">Exemple prérempli : Monique, senior, jour 8. Saisir uniquement les cellules jaunes.</t>
  </si>
  <si>
    <t xml:space="preserve">Plafond</t>
  </si>
  <si>
    <t xml:space="preserve">Nb d'occurrences</t>
  </si>
  <si>
    <t xml:space="preserve">Âge (jours)</t>
  </si>
  <si>
    <t xml:space="preserve">Points obtenus</t>
  </si>
  <si>
    <t xml:space="preserve">Négatifs</t>
  </si>
  <si>
    <t xml:space="preserve">Profil (plafond 30)</t>
  </si>
  <si>
    <t xml:space="preserve">Origine (le plus fort)</t>
  </si>
  <si>
    <t xml:space="preserve">Demande, découverte, achat</t>
  </si>
  <si>
    <t xml:space="preserve">Comportement (plafond 70)</t>
  </si>
  <si>
    <t xml:space="preserve">SCORE DE CONVERSION /100</t>
  </si>
  <si>
    <t xml:space="preserve">Palier</t>
  </si>
  <si>
    <t xml:space="preserve">Simulateur · score d'engagement</t>
  </si>
  <si>
    <t xml:space="preserve">Exemple prérempli : Monique après son voyage, abonnée et active. Atteignable = 1 si l'étape est passée (lu dans le planning).</t>
  </si>
  <si>
    <t xml:space="preserve">Atteignable (1/0)</t>
  </si>
  <si>
    <t xml:space="preserve">Points atteignables</t>
  </si>
  <si>
    <t xml:space="preserve">Saisie : 1 ou 0, sauf E5 et E9 (note sur 10) et E14 (nombre de filleuls)</t>
  </si>
  <si>
    <t xml:space="preserve">Total</t>
  </si>
  <si>
    <t xml:space="preserve">SCORE D'ENGAGEMENT /100</t>
  </si>
  <si>
    <t xml:space="preserve">Champs que le CRM doit enregistrer</t>
  </si>
  <si>
    <t xml:space="preserve">Sans ces champs, la règle « pas de preuve, pas de points » ne tient pas</t>
  </si>
  <si>
    <t xml:space="preserve">Objet</t>
  </si>
  <si>
    <t xml:space="preserve">Champ</t>
  </si>
  <si>
    <t xml:space="preserve">Type</t>
  </si>
  <si>
    <t xml:space="preserve">Obligatoire</t>
  </si>
  <si>
    <t xml:space="preserve">Critères alimentés</t>
  </si>
  <si>
    <t xml:space="preserve">Fiche contact</t>
  </si>
  <si>
    <t xml:space="preserve">Identité (prénom, nom, téléphone, e-mail)</t>
  </si>
  <si>
    <t xml:space="preserve">Texte</t>
  </si>
  <si>
    <t xml:space="preserve">P2, N3</t>
  </si>
  <si>
    <t xml:space="preserve">Cible</t>
  </si>
  <si>
    <t xml:space="preserve">Liste : Senior, Parent solo, Célibataire</t>
  </si>
  <si>
    <t xml:space="preserve">Origine du contact</t>
  </si>
  <si>
    <t xml:space="preserve">Liste : Stand, Agence, Partenaire, Flyer QR code, Site, Réseau social, Parrainage, Appel entrant</t>
  </si>
  <si>
    <t xml:space="preserve">C1 à C3</t>
  </si>
  <si>
    <t xml:space="preserve">Code du parrain</t>
  </si>
  <si>
    <t xml:space="preserve">Texte, contrôlé</t>
  </si>
  <si>
    <t xml:space="preserve">Si parrainage</t>
  </si>
  <si>
    <t xml:space="preserve">C1, E14</t>
  </si>
  <si>
    <t xml:space="preserve">Canal préféré</t>
  </si>
  <si>
    <t xml:space="preserve">Liste</t>
  </si>
  <si>
    <t xml:space="preserve">-</t>
  </si>
  <si>
    <t xml:space="preserve">Envie de voyage</t>
  </si>
  <si>
    <t xml:space="preserve">Lien vers un départ du planning</t>
  </si>
  <si>
    <t xml:space="preserve">Contraintes de dates</t>
  </si>
  <si>
    <t xml:space="preserve">Période (du, au)</t>
  </si>
  <si>
    <t xml:space="preserve">Budget déclaré</t>
  </si>
  <si>
    <t xml:space="preserve">Montant en €</t>
  </si>
  <si>
    <t xml:space="preserve">Personnes accompagnantes</t>
  </si>
  <si>
    <t xml:space="preserve">Texte ou liens vers fiches</t>
  </si>
  <si>
    <t xml:space="preserve">Compte réseau social rattaché</t>
  </si>
  <si>
    <t xml:space="preserve">Identifiant</t>
  </si>
  <si>
    <t xml:space="preserve">Statut</t>
  </si>
  <si>
    <t xml:space="preserve">Liste : Contact, Prospect, Devis envoyé, Réservé, Soldé, Voyageur, Abonné, Ancien abonné, Perdu</t>
  </si>
  <si>
    <t xml:space="preserve">Clôtures</t>
  </si>
  <si>
    <t xml:space="preserve">19</t>
  </si>
  <si>
    <t xml:space="preserve">Référente</t>
  </si>
  <si>
    <t xml:space="preserve">Automatique selon la cible</t>
  </si>
  <si>
    <t xml:space="preserve">Score de conversion, palier, score figé à la réservation</t>
  </si>
  <si>
    <t xml:space="preserve">Calculés</t>
  </si>
  <si>
    <t xml:space="preserve">Calculé</t>
  </si>
  <si>
    <t xml:space="preserve">Tous</t>
  </si>
  <si>
    <t xml:space="preserve">Score d'engagement, palier</t>
  </si>
  <si>
    <t xml:space="preserve">Journal d'événements</t>
  </si>
  <si>
    <t xml:space="preserve">Date et heure</t>
  </si>
  <si>
    <t xml:space="preserve">Horodatage</t>
  </si>
  <si>
    <t xml:space="preserve">Dégressivité</t>
  </si>
  <si>
    <t xml:space="preserve">Canal, process, code du critère, points, auteur</t>
  </si>
  <si>
    <t xml:space="preserve">Liste et nombre</t>
  </si>
  <si>
    <t xml:space="preserve">Durée d'appel</t>
  </si>
  <si>
    <t xml:space="preserve">Minutes</t>
  </si>
  <si>
    <t xml:space="preserve">Si appel</t>
  </si>
  <si>
    <t xml:space="preserve">C10, C16, E1</t>
  </si>
  <si>
    <t xml:space="preserve">02, 04, 05</t>
  </si>
  <si>
    <t xml:space="preserve">Journal des consentements</t>
  </si>
  <si>
    <t xml:space="preserve">Newsletter, WhatsApp, droit à l'image : date de recueil, date de retrait</t>
  </si>
  <si>
    <t xml:space="preserve">Booléen + date</t>
  </si>
  <si>
    <t xml:space="preserve">P3, P4, N1, N2, M5</t>
  </si>
  <si>
    <t xml:space="preserve">01, 07, 19</t>
  </si>
  <si>
    <t xml:space="preserve">Liens trackés</t>
  </si>
  <si>
    <t xml:space="preserve">Identifiant de lien propre à chaque fiche</t>
  </si>
  <si>
    <t xml:space="preserve">Paramètre d'URL</t>
  </si>
  <si>
    <t xml:space="preserve">C4, C5</t>
  </si>
  <si>
    <t xml:space="preserve">Planning · départ</t>
  </si>
  <si>
    <t xml:space="preserve">Cible, destination, dates de départ et de retour</t>
  </si>
  <si>
    <t xml:space="preserve">Texte et dates</t>
  </si>
  <si>
    <t xml:space="preserve">P5, P6</t>
  </si>
  <si>
    <t xml:space="preserve">Planning</t>
  </si>
  <si>
    <t xml:space="preserve">Prix par personne</t>
  </si>
  <si>
    <t xml:space="preserve">Places totales et places restantes</t>
  </si>
  <si>
    <t xml:space="preserve">Nombre (restantes calculées)</t>
  </si>
  <si>
    <t xml:space="preserve">P6, C20</t>
  </si>
  <si>
    <t xml:space="preserve">Dates des Soli'apéros brise-glace et retour</t>
  </si>
  <si>
    <t xml:space="preserve">Dates</t>
  </si>
  <si>
    <t xml:space="preserve">E4, E8, prorata</t>
  </si>
  <si>
    <t xml:space="preserve">07, 09</t>
  </si>
  <si>
    <t xml:space="preserve">Planning · activité</t>
  </si>
  <si>
    <t xml:space="preserve">Date, cible, lieu, participants</t>
  </si>
  <si>
    <t xml:space="preserve">Date et liens fiches</t>
  </si>
  <si>
    <t xml:space="preserve">C19, E12, E13</t>
  </si>
  <si>
    <t xml:space="preserve">Réservation</t>
  </si>
  <si>
    <t xml:space="preserve">Acompte, solde dû, date de règlement du solde, mise en demeure</t>
  </si>
  <si>
    <t xml:space="preserve">Montants et dates</t>
  </si>
  <si>
    <t xml:space="preserve">E3, M3</t>
  </si>
  <si>
    <t xml:space="preserve">04, 06</t>
  </si>
  <si>
    <t xml:space="preserve">Présence aux deux Soli'apéros</t>
  </si>
  <si>
    <t xml:space="preserve">Présent ou absent</t>
  </si>
  <si>
    <t xml:space="preserve">E4, E8</t>
  </si>
  <si>
    <t xml:space="preserve">07, 10</t>
  </si>
  <si>
    <t xml:space="preserve">Note à chaud, incident résolu, partage dans le groupe</t>
  </si>
  <si>
    <t xml:space="preserve">Note sur 10, booléens</t>
  </si>
  <si>
    <t xml:space="preserve">E5, E6, E7</t>
  </si>
  <si>
    <t xml:space="preserve">Note de recommandation, avis Google publié</t>
  </si>
  <si>
    <t xml:space="preserve">Note sur 10, booléen</t>
  </si>
  <si>
    <t xml:space="preserve">E9, E10</t>
  </si>
  <si>
    <t xml:space="preserve">Abonnement</t>
  </si>
  <si>
    <t xml:space="preserve">Formule, date de début, date de résiliation, motif</t>
  </si>
  <si>
    <t xml:space="preserve">Liste et dates</t>
  </si>
  <si>
    <t xml:space="preserve">Réclamation</t>
  </si>
  <si>
    <t xml:space="preserve">Statut, dates d'ouverture et de résolution, geste</t>
  </si>
  <si>
    <t xml:space="preserve">M1, E6</t>
  </si>
  <si>
    <t xml:space="preserve">Avis</t>
  </si>
  <si>
    <t xml:space="preserve">Plateforme, note, date, réponse, client rattaché</t>
  </si>
  <si>
    <t xml:space="preserve">Liste, note, date</t>
  </si>
  <si>
    <t xml:space="preserve">M2, E10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</si>
</sst>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A1A2E"/>
      <name val="Poppins"/>
      <family val="0"/>
      <charset val="1"/>
    </font>
    <font>
      <i val="true"/>
      <sz val="10"/>
      <color rgb="FF555555"/>
      <name val="Poppins"/>
      <family val="0"/>
      <charset val="1"/>
    </font>
    <font>
      <b val="true"/>
      <sz val="10"/>
      <color rgb="FF5A1A2E"/>
      <name val="Poppins"/>
      <family val="0"/>
      <charset val="1"/>
    </font>
    <font>
      <sz val="10"/>
      <color rgb="FF222222"/>
      <name val="Poppins"/>
      <family val="0"/>
      <charset val="1"/>
    </font>
    <font>
      <b val="true"/>
      <sz val="10"/>
      <color rgb="FF0000FF"/>
      <name val="Poppins"/>
      <family val="0"/>
      <charset val="1"/>
    </font>
    <font>
      <b val="true"/>
      <sz val="10"/>
      <color rgb="FFFFFFFF"/>
      <name val="Poppins"/>
      <family val="0"/>
      <charset val="1"/>
    </font>
    <font>
      <b val="true"/>
      <sz val="11"/>
      <color rgb="FF5A1A2E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DF5F0"/>
      </patternFill>
    </fill>
    <fill>
      <patternFill patternType="solid">
        <fgColor rgb="FF5A1A2E"/>
        <bgColor rgb="FF222222"/>
      </patternFill>
    </fill>
    <fill>
      <patternFill patternType="solid">
        <fgColor rgb="FFFDF5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83C71"/>
      <rgbColor rgb="FFFFF2CC"/>
      <rgbColor rgb="FFFDF5F0"/>
      <rgbColor rgb="FF5A1A2E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A2E"/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8" t="n">
        <v>10</v>
      </c>
      <c r="B15" s="7" t="s">
        <v>21</v>
      </c>
    </row>
    <row r="16" customFormat="false" ht="15" hidden="false" customHeight="false" outlineLevel="0" collapsed="false">
      <c r="A16" s="9" t="s">
        <v>22</v>
      </c>
      <c r="B16" s="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A2E"/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8" min="5" style="0" width="10"/>
    <col collapsed="false" customWidth="true" hidden="false" outlineLevel="0" max="9" min="9" style="0" width="42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9.85" hidden="false" customHeight="fals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0" t="s">
        <v>33</v>
      </c>
      <c r="I4" s="10" t="s">
        <v>34</v>
      </c>
      <c r="J4" s="10" t="s">
        <v>19</v>
      </c>
    </row>
    <row r="5" customFormat="false" ht="15" hidden="false" customHeight="false" outlineLevel="0" collapsed="false">
      <c r="A5" s="11" t="s">
        <v>35</v>
      </c>
      <c r="B5" s="4" t="s">
        <v>36</v>
      </c>
      <c r="C5" s="4" t="s">
        <v>37</v>
      </c>
      <c r="D5" s="12" t="n">
        <v>5</v>
      </c>
      <c r="E5" s="13" t="n">
        <v>1</v>
      </c>
      <c r="F5" s="13" t="n">
        <f aca="false">D5*E5</f>
        <v>5</v>
      </c>
      <c r="G5" s="13" t="s">
        <v>38</v>
      </c>
      <c r="H5" s="13" t="s">
        <v>39</v>
      </c>
      <c r="I5" s="4" t="s">
        <v>40</v>
      </c>
      <c r="J5" s="4" t="s">
        <v>41</v>
      </c>
    </row>
    <row r="6" customFormat="false" ht="15" hidden="false" customHeight="false" outlineLevel="0" collapsed="false">
      <c r="A6" s="11" t="s">
        <v>42</v>
      </c>
      <c r="B6" s="4" t="s">
        <v>36</v>
      </c>
      <c r="C6" s="4" t="s">
        <v>43</v>
      </c>
      <c r="D6" s="12" t="n">
        <v>3</v>
      </c>
      <c r="E6" s="13" t="n">
        <v>1</v>
      </c>
      <c r="F6" s="13" t="n">
        <f aca="false">D6*E6</f>
        <v>3</v>
      </c>
      <c r="G6" s="13" t="s">
        <v>38</v>
      </c>
      <c r="H6" s="13" t="s">
        <v>44</v>
      </c>
      <c r="I6" s="4" t="s">
        <v>45</v>
      </c>
      <c r="J6" s="4" t="s">
        <v>46</v>
      </c>
    </row>
    <row r="7" customFormat="false" ht="15" hidden="false" customHeight="false" outlineLevel="0" collapsed="false">
      <c r="A7" s="11" t="s">
        <v>47</v>
      </c>
      <c r="B7" s="4" t="s">
        <v>36</v>
      </c>
      <c r="C7" s="4" t="s">
        <v>48</v>
      </c>
      <c r="D7" s="12" t="n">
        <v>2</v>
      </c>
      <c r="E7" s="13" t="n">
        <v>1</v>
      </c>
      <c r="F7" s="13" t="n">
        <f aca="false">D7*E7</f>
        <v>2</v>
      </c>
      <c r="G7" s="13" t="s">
        <v>38</v>
      </c>
      <c r="H7" s="13" t="s">
        <v>49</v>
      </c>
      <c r="I7" s="4" t="s">
        <v>50</v>
      </c>
      <c r="J7" s="4" t="s">
        <v>46</v>
      </c>
    </row>
    <row r="8" customFormat="false" ht="15" hidden="false" customHeight="false" outlineLevel="0" collapsed="false">
      <c r="A8" s="11" t="s">
        <v>51</v>
      </c>
      <c r="B8" s="4" t="s">
        <v>36</v>
      </c>
      <c r="C8" s="4" t="s">
        <v>52</v>
      </c>
      <c r="D8" s="12" t="n">
        <v>3</v>
      </c>
      <c r="E8" s="13" t="n">
        <v>1</v>
      </c>
      <c r="F8" s="13" t="n">
        <f aca="false">D8*E8</f>
        <v>3</v>
      </c>
      <c r="G8" s="13" t="s">
        <v>38</v>
      </c>
      <c r="H8" s="13" t="s">
        <v>49</v>
      </c>
      <c r="I8" s="4" t="s">
        <v>50</v>
      </c>
      <c r="J8" s="4" t="s">
        <v>46</v>
      </c>
    </row>
    <row r="9" customFormat="false" ht="15" hidden="false" customHeight="false" outlineLevel="0" collapsed="false">
      <c r="A9" s="11" t="s">
        <v>53</v>
      </c>
      <c r="B9" s="4" t="s">
        <v>36</v>
      </c>
      <c r="C9" s="4" t="s">
        <v>54</v>
      </c>
      <c r="D9" s="12" t="n">
        <v>5</v>
      </c>
      <c r="E9" s="13" t="n">
        <v>1</v>
      </c>
      <c r="F9" s="13" t="n">
        <f aca="false">D9*E9</f>
        <v>5</v>
      </c>
      <c r="G9" s="13" t="s">
        <v>38</v>
      </c>
      <c r="H9" s="13" t="s">
        <v>44</v>
      </c>
      <c r="I9" s="4" t="s">
        <v>55</v>
      </c>
      <c r="J9" s="4" t="s">
        <v>41</v>
      </c>
    </row>
    <row r="10" customFormat="false" ht="29.85" hidden="false" customHeight="false" outlineLevel="0" collapsed="false">
      <c r="A10" s="11" t="s">
        <v>56</v>
      </c>
      <c r="B10" s="4" t="s">
        <v>36</v>
      </c>
      <c r="C10" s="4" t="s">
        <v>57</v>
      </c>
      <c r="D10" s="12" t="n">
        <v>6</v>
      </c>
      <c r="E10" s="13" t="n">
        <v>1</v>
      </c>
      <c r="F10" s="13" t="n">
        <f aca="false">D10*E10</f>
        <v>6</v>
      </c>
      <c r="G10" s="13" t="s">
        <v>38</v>
      </c>
      <c r="H10" s="13" t="s">
        <v>58</v>
      </c>
      <c r="I10" s="4" t="s">
        <v>59</v>
      </c>
      <c r="J10" s="4" t="s">
        <v>60</v>
      </c>
    </row>
    <row r="11" customFormat="false" ht="15" hidden="false" customHeight="false" outlineLevel="0" collapsed="false">
      <c r="A11" s="11" t="s">
        <v>61</v>
      </c>
      <c r="B11" s="4" t="s">
        <v>36</v>
      </c>
      <c r="C11" s="4" t="s">
        <v>62</v>
      </c>
      <c r="D11" s="12" t="n">
        <v>6</v>
      </c>
      <c r="E11" s="13" t="n">
        <v>1</v>
      </c>
      <c r="F11" s="13" t="n">
        <f aca="false">D11*E11</f>
        <v>6</v>
      </c>
      <c r="G11" s="13" t="s">
        <v>38</v>
      </c>
      <c r="H11" s="13" t="s">
        <v>58</v>
      </c>
      <c r="I11" s="4" t="s">
        <v>63</v>
      </c>
      <c r="J11" s="4" t="s">
        <v>41</v>
      </c>
    </row>
    <row r="12" customFormat="false" ht="15" hidden="false" customHeight="false" outlineLevel="0" collapsed="false">
      <c r="A12" s="11" t="s">
        <v>64</v>
      </c>
      <c r="B12" s="4" t="s">
        <v>65</v>
      </c>
      <c r="C12" s="4" t="s">
        <v>66</v>
      </c>
      <c r="D12" s="12" t="n">
        <v>11</v>
      </c>
      <c r="E12" s="13" t="n">
        <v>1</v>
      </c>
      <c r="F12" s="13" t="n">
        <f aca="false">D12*E12</f>
        <v>11</v>
      </c>
      <c r="G12" s="13" t="s">
        <v>38</v>
      </c>
      <c r="H12" s="13" t="s">
        <v>67</v>
      </c>
      <c r="I12" s="4" t="s">
        <v>68</v>
      </c>
      <c r="J12" s="4" t="s">
        <v>41</v>
      </c>
    </row>
    <row r="13" customFormat="false" ht="15" hidden="false" customHeight="false" outlineLevel="0" collapsed="false">
      <c r="A13" s="11" t="s">
        <v>69</v>
      </c>
      <c r="B13" s="4" t="s">
        <v>65</v>
      </c>
      <c r="C13" s="4" t="s">
        <v>70</v>
      </c>
      <c r="D13" s="12" t="n">
        <v>4</v>
      </c>
      <c r="E13" s="13" t="n">
        <v>1</v>
      </c>
      <c r="F13" s="13" t="n">
        <f aca="false">D13*E13</f>
        <v>4</v>
      </c>
      <c r="G13" s="13" t="s">
        <v>38</v>
      </c>
      <c r="H13" s="13" t="s">
        <v>49</v>
      </c>
      <c r="I13" s="4" t="s">
        <v>71</v>
      </c>
      <c r="J13" s="4" t="s">
        <v>41</v>
      </c>
    </row>
    <row r="14" customFormat="false" ht="15" hidden="false" customHeight="false" outlineLevel="0" collapsed="false">
      <c r="A14" s="11" t="s">
        <v>72</v>
      </c>
      <c r="B14" s="4" t="s">
        <v>65</v>
      </c>
      <c r="C14" s="4" t="s">
        <v>73</v>
      </c>
      <c r="D14" s="12" t="n">
        <v>3</v>
      </c>
      <c r="E14" s="13" t="n">
        <v>1</v>
      </c>
      <c r="F14" s="13" t="n">
        <f aca="false">D14*E14</f>
        <v>3</v>
      </c>
      <c r="G14" s="13" t="s">
        <v>38</v>
      </c>
      <c r="H14" s="13" t="s">
        <v>49</v>
      </c>
      <c r="I14" s="4" t="s">
        <v>74</v>
      </c>
      <c r="J14" s="4" t="s">
        <v>46</v>
      </c>
    </row>
    <row r="15" customFormat="false" ht="15" hidden="false" customHeight="false" outlineLevel="0" collapsed="false">
      <c r="A15" s="11" t="s">
        <v>75</v>
      </c>
      <c r="B15" s="4" t="s">
        <v>76</v>
      </c>
      <c r="C15" s="4" t="s">
        <v>77</v>
      </c>
      <c r="D15" s="12" t="n">
        <v>4</v>
      </c>
      <c r="E15" s="13" t="n">
        <v>1</v>
      </c>
      <c r="F15" s="13" t="n">
        <f aca="false">D15*E15</f>
        <v>4</v>
      </c>
      <c r="G15" s="13" t="s">
        <v>78</v>
      </c>
      <c r="H15" s="13" t="s">
        <v>49</v>
      </c>
      <c r="I15" s="4" t="s">
        <v>79</v>
      </c>
      <c r="J15" s="4" t="s">
        <v>46</v>
      </c>
    </row>
    <row r="16" customFormat="false" ht="15" hidden="false" customHeight="false" outlineLevel="0" collapsed="false">
      <c r="A16" s="11" t="s">
        <v>80</v>
      </c>
      <c r="B16" s="4" t="s">
        <v>76</v>
      </c>
      <c r="C16" s="4" t="s">
        <v>81</v>
      </c>
      <c r="D16" s="12" t="n">
        <v>3</v>
      </c>
      <c r="E16" s="13" t="n">
        <v>3</v>
      </c>
      <c r="F16" s="13" t="n">
        <f aca="false">D16*E16</f>
        <v>9</v>
      </c>
      <c r="G16" s="13" t="s">
        <v>78</v>
      </c>
      <c r="H16" s="13" t="s">
        <v>82</v>
      </c>
      <c r="I16" s="4" t="s">
        <v>79</v>
      </c>
      <c r="J16" s="4" t="s">
        <v>46</v>
      </c>
    </row>
    <row r="17" customFormat="false" ht="15" hidden="false" customHeight="false" outlineLevel="0" collapsed="false">
      <c r="A17" s="11" t="s">
        <v>83</v>
      </c>
      <c r="B17" s="4" t="s">
        <v>76</v>
      </c>
      <c r="C17" s="4" t="s">
        <v>84</v>
      </c>
      <c r="D17" s="12" t="n">
        <v>3</v>
      </c>
      <c r="E17" s="13" t="n">
        <v>2</v>
      </c>
      <c r="F17" s="13" t="n">
        <f aca="false">D17*E17</f>
        <v>6</v>
      </c>
      <c r="G17" s="13" t="s">
        <v>78</v>
      </c>
      <c r="H17" s="13" t="s">
        <v>85</v>
      </c>
      <c r="I17" s="4" t="s">
        <v>86</v>
      </c>
      <c r="J17" s="4" t="s">
        <v>41</v>
      </c>
    </row>
    <row r="18" customFormat="false" ht="15" hidden="false" customHeight="false" outlineLevel="0" collapsed="false">
      <c r="A18" s="11" t="s">
        <v>87</v>
      </c>
      <c r="B18" s="4" t="s">
        <v>76</v>
      </c>
      <c r="C18" s="4" t="s">
        <v>88</v>
      </c>
      <c r="D18" s="12" t="n">
        <v>4</v>
      </c>
      <c r="E18" s="13" t="n">
        <v>1</v>
      </c>
      <c r="F18" s="13" t="n">
        <f aca="false">D18*E18</f>
        <v>4</v>
      </c>
      <c r="G18" s="13" t="s">
        <v>78</v>
      </c>
      <c r="H18" s="13" t="s">
        <v>89</v>
      </c>
      <c r="I18" s="4" t="s">
        <v>74</v>
      </c>
      <c r="J18" s="4" t="s">
        <v>46</v>
      </c>
    </row>
    <row r="19" customFormat="false" ht="15" hidden="false" customHeight="false" outlineLevel="0" collapsed="false">
      <c r="A19" s="11" t="s">
        <v>90</v>
      </c>
      <c r="B19" s="4" t="s">
        <v>91</v>
      </c>
      <c r="C19" s="4" t="s">
        <v>92</v>
      </c>
      <c r="D19" s="12" t="n">
        <v>10</v>
      </c>
      <c r="E19" s="13" t="n">
        <v>1</v>
      </c>
      <c r="F19" s="13" t="n">
        <f aca="false">D19*E19</f>
        <v>10</v>
      </c>
      <c r="G19" s="13" t="s">
        <v>78</v>
      </c>
      <c r="H19" s="13" t="s">
        <v>89</v>
      </c>
      <c r="I19" s="4" t="s">
        <v>93</v>
      </c>
      <c r="J19" s="4" t="s">
        <v>46</v>
      </c>
    </row>
    <row r="20" customFormat="false" ht="15" hidden="false" customHeight="false" outlineLevel="0" collapsed="false">
      <c r="A20" s="11" t="s">
        <v>94</v>
      </c>
      <c r="B20" s="4" t="s">
        <v>91</v>
      </c>
      <c r="C20" s="4" t="s">
        <v>95</v>
      </c>
      <c r="D20" s="12" t="n">
        <v>15</v>
      </c>
      <c r="E20" s="13" t="n">
        <v>1</v>
      </c>
      <c r="F20" s="13" t="n">
        <f aca="false">D20*E20</f>
        <v>15</v>
      </c>
      <c r="G20" s="13" t="s">
        <v>78</v>
      </c>
      <c r="H20" s="13" t="s">
        <v>89</v>
      </c>
      <c r="I20" s="4" t="s">
        <v>96</v>
      </c>
      <c r="J20" s="4" t="s">
        <v>41</v>
      </c>
    </row>
    <row r="21" customFormat="false" ht="15" hidden="false" customHeight="false" outlineLevel="0" collapsed="false">
      <c r="A21" s="11" t="s">
        <v>97</v>
      </c>
      <c r="B21" s="4" t="s">
        <v>91</v>
      </c>
      <c r="C21" s="4" t="s">
        <v>98</v>
      </c>
      <c r="D21" s="12" t="n">
        <v>15</v>
      </c>
      <c r="E21" s="13" t="n">
        <v>1</v>
      </c>
      <c r="F21" s="13" t="n">
        <f aca="false">D21*E21</f>
        <v>15</v>
      </c>
      <c r="G21" s="13" t="s">
        <v>78</v>
      </c>
      <c r="H21" s="13" t="s">
        <v>58</v>
      </c>
      <c r="I21" s="4" t="s">
        <v>99</v>
      </c>
      <c r="J21" s="4" t="s">
        <v>41</v>
      </c>
    </row>
    <row r="22" customFormat="false" ht="15" hidden="false" customHeight="false" outlineLevel="0" collapsed="false">
      <c r="A22" s="11" t="s">
        <v>100</v>
      </c>
      <c r="B22" s="4" t="s">
        <v>91</v>
      </c>
      <c r="C22" s="4" t="s">
        <v>101</v>
      </c>
      <c r="D22" s="12" t="n">
        <v>4</v>
      </c>
      <c r="E22" s="13" t="n">
        <v>2</v>
      </c>
      <c r="F22" s="13" t="n">
        <f aca="false">D22*E22</f>
        <v>8</v>
      </c>
      <c r="G22" s="13" t="s">
        <v>78</v>
      </c>
      <c r="H22" s="13" t="s">
        <v>102</v>
      </c>
      <c r="I22" s="4" t="s">
        <v>103</v>
      </c>
      <c r="J22" s="4" t="s">
        <v>46</v>
      </c>
    </row>
    <row r="23" customFormat="false" ht="15" hidden="false" customHeight="false" outlineLevel="0" collapsed="false">
      <c r="A23" s="11" t="s">
        <v>104</v>
      </c>
      <c r="B23" s="4" t="s">
        <v>105</v>
      </c>
      <c r="C23" s="4" t="s">
        <v>106</v>
      </c>
      <c r="D23" s="12" t="n">
        <v>6</v>
      </c>
      <c r="E23" s="13" t="n">
        <v>1</v>
      </c>
      <c r="F23" s="13" t="n">
        <f aca="false">D23*E23</f>
        <v>6</v>
      </c>
      <c r="G23" s="13" t="s">
        <v>78</v>
      </c>
      <c r="H23" s="13" t="s">
        <v>58</v>
      </c>
      <c r="I23" s="4" t="s">
        <v>107</v>
      </c>
      <c r="J23" s="4" t="s">
        <v>41</v>
      </c>
    </row>
    <row r="24" customFormat="false" ht="15" hidden="false" customHeight="false" outlineLevel="0" collapsed="false">
      <c r="A24" s="11" t="s">
        <v>108</v>
      </c>
      <c r="B24" s="4" t="s">
        <v>105</v>
      </c>
      <c r="C24" s="4" t="s">
        <v>109</v>
      </c>
      <c r="D24" s="12" t="n">
        <v>12</v>
      </c>
      <c r="E24" s="13" t="n">
        <v>1</v>
      </c>
      <c r="F24" s="13" t="n">
        <f aca="false">D24*E24</f>
        <v>12</v>
      </c>
      <c r="G24" s="13" t="s">
        <v>78</v>
      </c>
      <c r="H24" s="13" t="s">
        <v>58</v>
      </c>
      <c r="I24" s="4" t="s">
        <v>110</v>
      </c>
      <c r="J24" s="4" t="s">
        <v>41</v>
      </c>
    </row>
    <row r="25" customFormat="false" ht="15" hidden="false" customHeight="false" outlineLevel="0" collapsed="false">
      <c r="A25" s="11" t="s">
        <v>111</v>
      </c>
      <c r="B25" s="4" t="s">
        <v>105</v>
      </c>
      <c r="C25" s="4" t="s">
        <v>112</v>
      </c>
      <c r="D25" s="12" t="n">
        <v>8</v>
      </c>
      <c r="E25" s="13" t="n">
        <v>1</v>
      </c>
      <c r="F25" s="13" t="n">
        <f aca="false">D25*E25</f>
        <v>8</v>
      </c>
      <c r="G25" s="13" t="s">
        <v>78</v>
      </c>
      <c r="H25" s="13" t="s">
        <v>58</v>
      </c>
      <c r="I25" s="4" t="s">
        <v>113</v>
      </c>
      <c r="J25" s="4" t="s">
        <v>46</v>
      </c>
    </row>
    <row r="26" customFormat="false" ht="15" hidden="false" customHeight="false" outlineLevel="0" collapsed="false">
      <c r="A26" s="11" t="s">
        <v>114</v>
      </c>
      <c r="B26" s="4" t="s">
        <v>115</v>
      </c>
      <c r="C26" s="4" t="s">
        <v>116</v>
      </c>
      <c r="D26" s="12" t="n">
        <v>5</v>
      </c>
      <c r="E26" s="13" t="n">
        <v>1</v>
      </c>
      <c r="F26" s="13" t="n">
        <f aca="false">D26*E26</f>
        <v>5</v>
      </c>
      <c r="G26" s="13" t="s">
        <v>78</v>
      </c>
      <c r="H26" s="13" t="s">
        <v>117</v>
      </c>
      <c r="I26" s="4" t="s">
        <v>118</v>
      </c>
      <c r="J26" s="4" t="s">
        <v>41</v>
      </c>
    </row>
    <row r="27" customFormat="false" ht="29.85" hidden="false" customHeight="false" outlineLevel="0" collapsed="false">
      <c r="A27" s="11" t="s">
        <v>119</v>
      </c>
      <c r="B27" s="4" t="s">
        <v>115</v>
      </c>
      <c r="C27" s="4" t="s">
        <v>120</v>
      </c>
      <c r="D27" s="12" t="n">
        <v>6</v>
      </c>
      <c r="E27" s="13" t="n">
        <v>1</v>
      </c>
      <c r="F27" s="13" t="n">
        <f aca="false">D27*E27</f>
        <v>6</v>
      </c>
      <c r="G27" s="13" t="s">
        <v>78</v>
      </c>
      <c r="H27" s="13" t="s">
        <v>121</v>
      </c>
      <c r="I27" s="4" t="s">
        <v>122</v>
      </c>
      <c r="J27" s="4" t="s">
        <v>41</v>
      </c>
    </row>
    <row r="28" customFormat="false" ht="15" hidden="false" customHeight="false" outlineLevel="0" collapsed="false">
      <c r="A28" s="11" t="s">
        <v>123</v>
      </c>
      <c r="B28" s="4" t="s">
        <v>115</v>
      </c>
      <c r="C28" s="4" t="s">
        <v>124</v>
      </c>
      <c r="D28" s="12" t="n">
        <v>8</v>
      </c>
      <c r="E28" s="13" t="n">
        <v>1</v>
      </c>
      <c r="F28" s="13" t="n">
        <f aca="false">D28*E28</f>
        <v>8</v>
      </c>
      <c r="G28" s="13" t="s">
        <v>78</v>
      </c>
      <c r="H28" s="13" t="s">
        <v>125</v>
      </c>
      <c r="I28" s="4" t="s">
        <v>126</v>
      </c>
      <c r="J28" s="4" t="s">
        <v>41</v>
      </c>
    </row>
    <row r="29" customFormat="false" ht="15" hidden="false" customHeight="false" outlineLevel="0" collapsed="false">
      <c r="A29" s="11" t="s">
        <v>127</v>
      </c>
      <c r="B29" s="4" t="s">
        <v>115</v>
      </c>
      <c r="C29" s="4" t="s">
        <v>128</v>
      </c>
      <c r="D29" s="12" t="n">
        <v>6</v>
      </c>
      <c r="E29" s="13" t="n">
        <v>1</v>
      </c>
      <c r="F29" s="13" t="n">
        <f aca="false">D29*E29</f>
        <v>6</v>
      </c>
      <c r="G29" s="13" t="s">
        <v>78</v>
      </c>
      <c r="H29" s="13" t="s">
        <v>117</v>
      </c>
      <c r="I29" s="4" t="s">
        <v>129</v>
      </c>
      <c r="J29" s="4" t="s">
        <v>41</v>
      </c>
    </row>
    <row r="31" customFormat="false" ht="17.15" hidden="false" customHeight="false" outlineLevel="0" collapsed="false">
      <c r="C31" s="5" t="s">
        <v>130</v>
      </c>
      <c r="F31" s="14" t="n">
        <f aca="false">SUMIFS(F5:F29,B5:B29,"Profil")</f>
        <v>30</v>
      </c>
    </row>
    <row r="32" customFormat="false" ht="17.15" hidden="false" customHeight="false" outlineLevel="0" collapsed="false">
      <c r="C32" s="5" t="s">
        <v>131</v>
      </c>
      <c r="F32" s="14" t="n">
        <f aca="false">MAX(D12:D14)</f>
        <v>11</v>
      </c>
    </row>
    <row r="33" customFormat="false" ht="17.15" hidden="false" customHeight="false" outlineLevel="0" collapsed="false">
      <c r="C33" s="5" t="s">
        <v>132</v>
      </c>
      <c r="F33" s="14" t="n">
        <f aca="false">MIN(12,SUMIFS(F5:F29,B5:B29,"Digital"))</f>
        <v>12</v>
      </c>
    </row>
    <row r="34" customFormat="false" ht="17.15" hidden="false" customHeight="false" outlineLevel="0" collapsed="false">
      <c r="C34" s="5" t="s">
        <v>133</v>
      </c>
      <c r="F34" s="14" t="n">
        <f aca="false">SUMIFS(F5:F29,B5:B29,"Demande")+SUMIFS(F5:F29,B5:B29,"Découverte")+SUMIFS(F5:F29,B5:B29,"Achat")</f>
        <v>99</v>
      </c>
    </row>
    <row r="35" customFormat="false" ht="17.15" hidden="false" customHeight="false" outlineLevel="0" collapsed="false">
      <c r="C35" s="5" t="s">
        <v>134</v>
      </c>
      <c r="F35" s="14" t="n">
        <f aca="false">MIN(70,F32+F33+F34)</f>
        <v>70</v>
      </c>
    </row>
    <row r="36" customFormat="false" ht="15" hidden="false" customHeight="false" outlineLevel="0" collapsed="false">
      <c r="C36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A2E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8" min="8" style="0" width="10"/>
  </cols>
  <sheetData>
    <row r="1" customFormat="false" ht="19.7" hidden="false" customHeight="false" outlineLevel="0" collapsed="false">
      <c r="A1" s="1" t="s">
        <v>136</v>
      </c>
    </row>
    <row r="2" customFormat="false" ht="15" hidden="false" customHeight="false" outlineLevel="0" collapsed="false">
      <c r="A2" s="2" t="s">
        <v>137</v>
      </c>
    </row>
    <row r="4" customFormat="false" ht="15" hidden="false" customHeight="fals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138</v>
      </c>
      <c r="F4" s="10" t="s">
        <v>33</v>
      </c>
      <c r="G4" s="10" t="s">
        <v>34</v>
      </c>
      <c r="H4" s="10" t="s">
        <v>139</v>
      </c>
    </row>
    <row r="5" customFormat="false" ht="15" hidden="false" customHeight="false" outlineLevel="0" collapsed="false">
      <c r="A5" s="11" t="s">
        <v>140</v>
      </c>
      <c r="B5" s="4" t="s">
        <v>141</v>
      </c>
      <c r="C5" s="4" t="s">
        <v>142</v>
      </c>
      <c r="D5" s="12" t="n">
        <v>4</v>
      </c>
      <c r="E5" s="4" t="s">
        <v>143</v>
      </c>
      <c r="F5" s="13" t="s">
        <v>144</v>
      </c>
      <c r="G5" s="4" t="s">
        <v>145</v>
      </c>
      <c r="H5" s="13" t="s">
        <v>38</v>
      </c>
    </row>
    <row r="6" customFormat="false" ht="15" hidden="false" customHeight="false" outlineLevel="0" collapsed="false">
      <c r="A6" s="11" t="s">
        <v>146</v>
      </c>
      <c r="B6" s="4" t="s">
        <v>141</v>
      </c>
      <c r="C6" s="4" t="s">
        <v>147</v>
      </c>
      <c r="D6" s="12" t="n">
        <v>4</v>
      </c>
      <c r="E6" s="4" t="s">
        <v>143</v>
      </c>
      <c r="F6" s="13" t="s">
        <v>148</v>
      </c>
      <c r="G6" s="4" t="s">
        <v>149</v>
      </c>
      <c r="H6" s="13" t="s">
        <v>38</v>
      </c>
    </row>
    <row r="7" customFormat="false" ht="15" hidden="false" customHeight="false" outlineLevel="0" collapsed="false">
      <c r="A7" s="11" t="s">
        <v>150</v>
      </c>
      <c r="B7" s="4" t="s">
        <v>141</v>
      </c>
      <c r="C7" s="4" t="s">
        <v>151</v>
      </c>
      <c r="D7" s="12" t="n">
        <v>4</v>
      </c>
      <c r="E7" s="4" t="s">
        <v>143</v>
      </c>
      <c r="F7" s="13" t="s">
        <v>148</v>
      </c>
      <c r="G7" s="4" t="s">
        <v>152</v>
      </c>
      <c r="H7" s="13" t="s">
        <v>38</v>
      </c>
    </row>
    <row r="8" customFormat="false" ht="15" hidden="false" customHeight="false" outlineLevel="0" collapsed="false">
      <c r="A8" s="11" t="s">
        <v>153</v>
      </c>
      <c r="B8" s="4" t="s">
        <v>141</v>
      </c>
      <c r="C8" s="4" t="s">
        <v>154</v>
      </c>
      <c r="D8" s="12" t="n">
        <v>8</v>
      </c>
      <c r="E8" s="4" t="s">
        <v>155</v>
      </c>
      <c r="F8" s="13" t="s">
        <v>156</v>
      </c>
      <c r="G8" s="4" t="s">
        <v>126</v>
      </c>
      <c r="H8" s="13" t="s">
        <v>38</v>
      </c>
    </row>
    <row r="9" customFormat="false" ht="29.85" hidden="false" customHeight="false" outlineLevel="0" collapsed="false">
      <c r="A9" s="11" t="s">
        <v>157</v>
      </c>
      <c r="B9" s="4" t="s">
        <v>158</v>
      </c>
      <c r="C9" s="4" t="s">
        <v>159</v>
      </c>
      <c r="D9" s="12" t="n">
        <v>12</v>
      </c>
      <c r="E9" s="4" t="s">
        <v>160</v>
      </c>
      <c r="F9" s="13" t="s">
        <v>161</v>
      </c>
      <c r="G9" s="4" t="s">
        <v>162</v>
      </c>
      <c r="H9" s="13" t="s">
        <v>38</v>
      </c>
    </row>
    <row r="10" customFormat="false" ht="15" hidden="false" customHeight="false" outlineLevel="0" collapsed="false">
      <c r="A10" s="11" t="s">
        <v>163</v>
      </c>
      <c r="B10" s="4" t="s">
        <v>158</v>
      </c>
      <c r="C10" s="4" t="s">
        <v>164</v>
      </c>
      <c r="D10" s="12" t="n">
        <v>4</v>
      </c>
      <c r="E10" s="4" t="s">
        <v>143</v>
      </c>
      <c r="F10" s="13" t="s">
        <v>165</v>
      </c>
      <c r="G10" s="4" t="s">
        <v>166</v>
      </c>
      <c r="H10" s="13" t="s">
        <v>38</v>
      </c>
    </row>
    <row r="11" customFormat="false" ht="15" hidden="false" customHeight="false" outlineLevel="0" collapsed="false">
      <c r="A11" s="11" t="s">
        <v>167</v>
      </c>
      <c r="B11" s="4" t="s">
        <v>158</v>
      </c>
      <c r="C11" s="4" t="s">
        <v>168</v>
      </c>
      <c r="D11" s="12" t="n">
        <v>4</v>
      </c>
      <c r="E11" s="4" t="s">
        <v>143</v>
      </c>
      <c r="F11" s="13" t="s">
        <v>161</v>
      </c>
      <c r="G11" s="4" t="s">
        <v>169</v>
      </c>
      <c r="H11" s="13" t="s">
        <v>38</v>
      </c>
    </row>
    <row r="12" customFormat="false" ht="15" hidden="false" customHeight="false" outlineLevel="0" collapsed="false">
      <c r="A12" s="11" t="s">
        <v>170</v>
      </c>
      <c r="B12" s="4" t="s">
        <v>171</v>
      </c>
      <c r="C12" s="4" t="s">
        <v>172</v>
      </c>
      <c r="D12" s="12" t="n">
        <v>8</v>
      </c>
      <c r="E12" s="4" t="s">
        <v>155</v>
      </c>
      <c r="F12" s="13" t="s">
        <v>173</v>
      </c>
      <c r="G12" s="4" t="s">
        <v>126</v>
      </c>
      <c r="H12" s="13" t="s">
        <v>38</v>
      </c>
    </row>
    <row r="13" customFormat="false" ht="29.85" hidden="false" customHeight="false" outlineLevel="0" collapsed="false">
      <c r="A13" s="11" t="s">
        <v>174</v>
      </c>
      <c r="B13" s="4" t="s">
        <v>171</v>
      </c>
      <c r="C13" s="4" t="s">
        <v>175</v>
      </c>
      <c r="D13" s="12" t="n">
        <v>10</v>
      </c>
      <c r="E13" s="4" t="s">
        <v>176</v>
      </c>
      <c r="F13" s="13" t="s">
        <v>177</v>
      </c>
      <c r="G13" s="4" t="s">
        <v>178</v>
      </c>
      <c r="H13" s="13" t="s">
        <v>38</v>
      </c>
    </row>
    <row r="14" customFormat="false" ht="15" hidden="false" customHeight="false" outlineLevel="0" collapsed="false">
      <c r="A14" s="11" t="s">
        <v>179</v>
      </c>
      <c r="B14" s="4" t="s">
        <v>171</v>
      </c>
      <c r="C14" s="4" t="s">
        <v>180</v>
      </c>
      <c r="D14" s="12" t="n">
        <v>7</v>
      </c>
      <c r="E14" s="4" t="s">
        <v>181</v>
      </c>
      <c r="F14" s="13" t="s">
        <v>182</v>
      </c>
      <c r="G14" s="4" t="s">
        <v>183</v>
      </c>
      <c r="H14" s="13" t="s">
        <v>38</v>
      </c>
    </row>
    <row r="15" customFormat="false" ht="15" hidden="false" customHeight="false" outlineLevel="0" collapsed="false">
      <c r="A15" s="11" t="s">
        <v>184</v>
      </c>
      <c r="B15" s="4" t="s">
        <v>185</v>
      </c>
      <c r="C15" s="4" t="s">
        <v>186</v>
      </c>
      <c r="D15" s="12" t="n">
        <v>10</v>
      </c>
      <c r="E15" s="4" t="s">
        <v>187</v>
      </c>
      <c r="F15" s="13" t="s">
        <v>188</v>
      </c>
      <c r="G15" s="4" t="s">
        <v>189</v>
      </c>
      <c r="H15" s="13" t="s">
        <v>78</v>
      </c>
    </row>
    <row r="16" customFormat="false" ht="29.85" hidden="false" customHeight="false" outlineLevel="0" collapsed="false">
      <c r="A16" s="11" t="s">
        <v>190</v>
      </c>
      <c r="B16" s="4" t="s">
        <v>185</v>
      </c>
      <c r="C16" s="4" t="s">
        <v>191</v>
      </c>
      <c r="D16" s="12" t="n">
        <v>10</v>
      </c>
      <c r="E16" s="4" t="s">
        <v>187</v>
      </c>
      <c r="F16" s="13" t="s">
        <v>192</v>
      </c>
      <c r="G16" s="4" t="s">
        <v>193</v>
      </c>
      <c r="H16" s="13" t="s">
        <v>78</v>
      </c>
    </row>
    <row r="17" customFormat="false" ht="15" hidden="false" customHeight="false" outlineLevel="0" collapsed="false">
      <c r="A17" s="11" t="s">
        <v>194</v>
      </c>
      <c r="B17" s="4" t="s">
        <v>185</v>
      </c>
      <c r="C17" s="4" t="s">
        <v>195</v>
      </c>
      <c r="D17" s="12" t="n">
        <v>5</v>
      </c>
      <c r="E17" s="4" t="s">
        <v>196</v>
      </c>
      <c r="F17" s="13" t="s">
        <v>197</v>
      </c>
      <c r="G17" s="4" t="s">
        <v>198</v>
      </c>
      <c r="H17" s="13" t="s">
        <v>78</v>
      </c>
    </row>
    <row r="18" customFormat="false" ht="15" hidden="false" customHeight="false" outlineLevel="0" collapsed="false">
      <c r="A18" s="11" t="s">
        <v>199</v>
      </c>
      <c r="B18" s="4" t="s">
        <v>185</v>
      </c>
      <c r="C18" s="4" t="s">
        <v>200</v>
      </c>
      <c r="D18" s="12" t="n">
        <v>5</v>
      </c>
      <c r="E18" s="4" t="s">
        <v>201</v>
      </c>
      <c r="F18" s="13" t="s">
        <v>202</v>
      </c>
      <c r="G18" s="4" t="s">
        <v>203</v>
      </c>
      <c r="H18" s="13" t="s">
        <v>78</v>
      </c>
    </row>
    <row r="19" customFormat="false" ht="15" hidden="false" customHeight="false" outlineLevel="0" collapsed="false">
      <c r="A19" s="11" t="s">
        <v>204</v>
      </c>
      <c r="B19" s="4" t="s">
        <v>185</v>
      </c>
      <c r="C19" s="4" t="s">
        <v>205</v>
      </c>
      <c r="D19" s="12" t="n">
        <v>10</v>
      </c>
      <c r="E19" s="4" t="s">
        <v>187</v>
      </c>
      <c r="F19" s="13" t="s">
        <v>202</v>
      </c>
      <c r="G19" s="4" t="s">
        <v>206</v>
      </c>
      <c r="H19" s="13" t="s">
        <v>78</v>
      </c>
    </row>
    <row r="21" customFormat="false" ht="17.15" hidden="false" customHeight="false" outlineLevel="0" collapsed="false">
      <c r="C21" s="5" t="s">
        <v>207</v>
      </c>
      <c r="D21" s="14" t="n">
        <f aca="false">MIN(20,SUMIFS(D5:D19,B5:B19,"Avant"))</f>
        <v>20</v>
      </c>
    </row>
    <row r="22" customFormat="false" ht="17.15" hidden="false" customHeight="false" outlineLevel="0" collapsed="false">
      <c r="C22" s="5" t="s">
        <v>208</v>
      </c>
      <c r="D22" s="14" t="n">
        <f aca="false">MIN(20,SUMIFS(D5:D19,B5:B19,"Pendant"))</f>
        <v>20</v>
      </c>
    </row>
    <row r="23" customFormat="false" ht="17.15" hidden="false" customHeight="false" outlineLevel="0" collapsed="false">
      <c r="C23" s="5" t="s">
        <v>209</v>
      </c>
      <c r="D23" s="14" t="n">
        <f aca="false">MIN(25,SUMIFS(D5:D19,B5:B19,"Après"))</f>
        <v>25</v>
      </c>
    </row>
    <row r="24" customFormat="false" ht="17.15" hidden="false" customHeight="false" outlineLevel="0" collapsed="false">
      <c r="C24" s="5" t="s">
        <v>210</v>
      </c>
      <c r="D24" s="14" t="n">
        <f aca="false">MIN(35,SUMIFS(D5:D19,B5:B19,"Fidélité")+D18)</f>
        <v>35</v>
      </c>
      <c r="E24" s="2" t="s">
        <v>211</v>
      </c>
    </row>
    <row r="25" customFormat="false" ht="17.15" hidden="false" customHeight="false" outlineLevel="0" collapsed="false">
      <c r="C25" s="5" t="s">
        <v>212</v>
      </c>
      <c r="D25" s="14" t="n">
        <f aca="false">SUM(D21:D24)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A2E"/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36"/>
  </cols>
  <sheetData>
    <row r="1" customFormat="false" ht="19.7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10" t="s">
        <v>26</v>
      </c>
      <c r="B4" s="10" t="s">
        <v>215</v>
      </c>
      <c r="C4" s="10" t="s">
        <v>216</v>
      </c>
      <c r="D4" s="10" t="s">
        <v>29</v>
      </c>
      <c r="E4" s="10" t="s">
        <v>33</v>
      </c>
      <c r="F4" s="10" t="s">
        <v>217</v>
      </c>
    </row>
    <row r="5" customFormat="false" ht="15" hidden="false" customHeight="false" outlineLevel="0" collapsed="false">
      <c r="A5" s="11" t="s">
        <v>218</v>
      </c>
      <c r="B5" s="4" t="s">
        <v>219</v>
      </c>
      <c r="C5" s="4" t="s">
        <v>220</v>
      </c>
      <c r="D5" s="12" t="n">
        <v>-5</v>
      </c>
      <c r="E5" s="13" t="s">
        <v>49</v>
      </c>
      <c r="F5" s="4" t="s">
        <v>221</v>
      </c>
    </row>
    <row r="6" customFormat="false" ht="15" hidden="false" customHeight="false" outlineLevel="0" collapsed="false">
      <c r="A6" s="11" t="s">
        <v>222</v>
      </c>
      <c r="B6" s="4" t="s">
        <v>219</v>
      </c>
      <c r="C6" s="4" t="s">
        <v>223</v>
      </c>
      <c r="D6" s="12" t="n">
        <v>-3</v>
      </c>
      <c r="E6" s="13" t="s">
        <v>49</v>
      </c>
      <c r="F6" s="4" t="s">
        <v>224</v>
      </c>
    </row>
    <row r="7" customFormat="false" ht="15" hidden="false" customHeight="false" outlineLevel="0" collapsed="false">
      <c r="A7" s="11" t="s">
        <v>225</v>
      </c>
      <c r="B7" s="4" t="s">
        <v>219</v>
      </c>
      <c r="C7" s="4" t="s">
        <v>226</v>
      </c>
      <c r="D7" s="12" t="n">
        <v>-5</v>
      </c>
      <c r="E7" s="13" t="s">
        <v>49</v>
      </c>
      <c r="F7" s="4" t="s">
        <v>227</v>
      </c>
    </row>
    <row r="8" customFormat="false" ht="15" hidden="false" customHeight="false" outlineLevel="0" collapsed="false">
      <c r="A8" s="11" t="s">
        <v>228</v>
      </c>
      <c r="B8" s="4" t="s">
        <v>219</v>
      </c>
      <c r="C8" s="4" t="s">
        <v>229</v>
      </c>
      <c r="D8" s="12" t="n">
        <v>-8</v>
      </c>
      <c r="E8" s="13" t="s">
        <v>58</v>
      </c>
      <c r="F8" s="4" t="s">
        <v>230</v>
      </c>
    </row>
    <row r="9" customFormat="false" ht="15" hidden="false" customHeight="false" outlineLevel="0" collapsed="false">
      <c r="A9" s="11" t="s">
        <v>231</v>
      </c>
      <c r="B9" s="4" t="s">
        <v>219</v>
      </c>
      <c r="C9" s="4" t="s">
        <v>232</v>
      </c>
      <c r="D9" s="12" t="n">
        <v>-10</v>
      </c>
      <c r="E9" s="13" t="s">
        <v>117</v>
      </c>
      <c r="F9" s="4" t="s">
        <v>233</v>
      </c>
    </row>
    <row r="10" customFormat="false" ht="15" hidden="false" customHeight="false" outlineLevel="0" collapsed="false">
      <c r="A10" s="11" t="s">
        <v>234</v>
      </c>
      <c r="B10" s="4" t="s">
        <v>219</v>
      </c>
      <c r="C10" s="4" t="s">
        <v>235</v>
      </c>
      <c r="D10" s="12" t="n">
        <v>-15</v>
      </c>
      <c r="E10" s="13" t="s">
        <v>102</v>
      </c>
      <c r="F10" s="4" t="s">
        <v>233</v>
      </c>
    </row>
    <row r="11" customFormat="false" ht="15" hidden="false" customHeight="false" outlineLevel="0" collapsed="false">
      <c r="A11" s="11" t="s">
        <v>236</v>
      </c>
      <c r="B11" s="4" t="s">
        <v>237</v>
      </c>
      <c r="C11" s="4" t="s">
        <v>238</v>
      </c>
      <c r="D11" s="12" t="n">
        <v>-10</v>
      </c>
      <c r="E11" s="13" t="s">
        <v>239</v>
      </c>
      <c r="F11" s="4" t="s">
        <v>240</v>
      </c>
    </row>
    <row r="12" customFormat="false" ht="15" hidden="false" customHeight="false" outlineLevel="0" collapsed="false">
      <c r="A12" s="11" t="s">
        <v>241</v>
      </c>
      <c r="B12" s="4" t="s">
        <v>237</v>
      </c>
      <c r="C12" s="4" t="s">
        <v>242</v>
      </c>
      <c r="D12" s="12" t="n">
        <v>-10</v>
      </c>
      <c r="E12" s="13" t="s">
        <v>85</v>
      </c>
      <c r="F12" s="4" t="s">
        <v>243</v>
      </c>
    </row>
    <row r="13" customFormat="false" ht="15" hidden="false" customHeight="false" outlineLevel="0" collapsed="false">
      <c r="A13" s="11" t="s">
        <v>244</v>
      </c>
      <c r="B13" s="4" t="s">
        <v>237</v>
      </c>
      <c r="C13" s="4" t="s">
        <v>245</v>
      </c>
      <c r="D13" s="12" t="n">
        <v>-8</v>
      </c>
      <c r="E13" s="13" t="s">
        <v>148</v>
      </c>
      <c r="F13" s="4" t="s">
        <v>246</v>
      </c>
    </row>
    <row r="14" customFormat="false" ht="15" hidden="false" customHeight="false" outlineLevel="0" collapsed="false">
      <c r="A14" s="11" t="s">
        <v>247</v>
      </c>
      <c r="B14" s="4" t="s">
        <v>237</v>
      </c>
      <c r="C14" s="4" t="s">
        <v>248</v>
      </c>
      <c r="D14" s="12" t="n">
        <v>-10</v>
      </c>
      <c r="E14" s="13" t="s">
        <v>197</v>
      </c>
      <c r="F14" s="4" t="s">
        <v>249</v>
      </c>
    </row>
    <row r="15" customFormat="false" ht="15" hidden="false" customHeight="false" outlineLevel="0" collapsed="false">
      <c r="A15" s="11" t="s">
        <v>250</v>
      </c>
      <c r="B15" s="4" t="s">
        <v>237</v>
      </c>
      <c r="C15" s="4" t="s">
        <v>220</v>
      </c>
      <c r="D15" s="12" t="n">
        <v>-5</v>
      </c>
      <c r="E15" s="13" t="s">
        <v>125</v>
      </c>
      <c r="F15" s="4" t="s">
        <v>221</v>
      </c>
    </row>
    <row r="17" customFormat="false" ht="15" hidden="false" customHeight="false" outlineLevel="0" collapsed="false">
      <c r="A17" s="2" t="s">
        <v>251</v>
      </c>
    </row>
    <row r="19" customFormat="false" ht="15" hidden="false" customHeight="false" outlineLevel="0" collapsed="false">
      <c r="A19" s="5" t="s">
        <v>252</v>
      </c>
    </row>
    <row r="20" customFormat="false" ht="29.85" hidden="false" customHeight="false" outlineLevel="0" collapsed="false">
      <c r="A20" s="10" t="s">
        <v>253</v>
      </c>
      <c r="B20" s="10" t="s">
        <v>254</v>
      </c>
      <c r="C20" s="10" t="s">
        <v>255</v>
      </c>
    </row>
    <row r="21" customFormat="false" ht="15" hidden="false" customHeight="false" outlineLevel="0" collapsed="false">
      <c r="A21" s="13" t="n">
        <v>0</v>
      </c>
      <c r="B21" s="13" t="n">
        <v>30</v>
      </c>
      <c r="C21" s="15" t="n">
        <v>1</v>
      </c>
    </row>
    <row r="22" customFormat="false" ht="15" hidden="false" customHeight="false" outlineLevel="0" collapsed="false">
      <c r="A22" s="13" t="n">
        <v>31</v>
      </c>
      <c r="B22" s="13" t="n">
        <v>60</v>
      </c>
      <c r="C22" s="15" t="n">
        <v>0.5</v>
      </c>
    </row>
    <row r="23" customFormat="false" ht="15" hidden="false" customHeight="false" outlineLevel="0" collapsed="false">
      <c r="A23" s="13" t="n">
        <v>61</v>
      </c>
      <c r="B23" s="13" t="n">
        <v>90</v>
      </c>
      <c r="C23" s="15" t="n">
        <v>0.25</v>
      </c>
    </row>
    <row r="24" customFormat="false" ht="15" hidden="false" customHeight="false" outlineLevel="0" collapsed="false">
      <c r="A24" s="13" t="n">
        <v>91</v>
      </c>
      <c r="B24" s="13" t="s">
        <v>256</v>
      </c>
      <c r="C24" s="15" t="n">
        <v>0</v>
      </c>
    </row>
    <row r="25" customFormat="false" ht="15" hidden="false" customHeight="false" outlineLevel="0" collapsed="false">
      <c r="A25" s="2" t="s">
        <v>257</v>
      </c>
    </row>
    <row r="27" customFormat="false" ht="15" hidden="false" customHeight="false" outlineLevel="0" collapsed="false">
      <c r="A27" s="5" t="s">
        <v>258</v>
      </c>
    </row>
    <row r="28" customFormat="false" ht="29.85" hidden="false" customHeight="false" outlineLevel="0" collapsed="false">
      <c r="A28" s="10" t="s">
        <v>259</v>
      </c>
      <c r="B28" s="10" t="s">
        <v>219</v>
      </c>
      <c r="C28" s="10"/>
      <c r="D28" s="10" t="s">
        <v>259</v>
      </c>
      <c r="E28" s="10" t="s">
        <v>237</v>
      </c>
    </row>
    <row r="29" customFormat="false" ht="15" hidden="false" customHeight="false" outlineLevel="0" collapsed="false">
      <c r="A29" s="12" t="n">
        <v>0</v>
      </c>
      <c r="B29" s="13" t="s">
        <v>260</v>
      </c>
      <c r="D29" s="12" t="n">
        <v>0</v>
      </c>
      <c r="E29" s="13" t="s">
        <v>261</v>
      </c>
    </row>
    <row r="30" customFormat="false" ht="15" hidden="false" customHeight="false" outlineLevel="0" collapsed="false">
      <c r="A30" s="12" t="n">
        <v>25</v>
      </c>
      <c r="B30" s="13" t="s">
        <v>262</v>
      </c>
      <c r="D30" s="12" t="n">
        <v>40</v>
      </c>
      <c r="E30" s="13" t="s">
        <v>263</v>
      </c>
    </row>
    <row r="31" customFormat="false" ht="15" hidden="false" customHeight="false" outlineLevel="0" collapsed="false">
      <c r="A31" s="12" t="n">
        <v>50</v>
      </c>
      <c r="B31" s="13" t="s">
        <v>264</v>
      </c>
      <c r="D31" s="12" t="n">
        <v>65</v>
      </c>
      <c r="E31" s="13" t="s">
        <v>265</v>
      </c>
    </row>
    <row r="32" customFormat="false" ht="29.85" hidden="false" customHeight="false" outlineLevel="0" collapsed="false">
      <c r="A32" s="12" t="n">
        <v>75</v>
      </c>
      <c r="B32" s="13" t="s">
        <v>266</v>
      </c>
      <c r="D32" s="12" t="n">
        <v>85</v>
      </c>
      <c r="E32" s="13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3C71"/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4" min="3" style="0" width="9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269</v>
      </c>
    </row>
    <row r="4" customFormat="false" ht="29.85" hidden="false" customHeight="false" outlineLevel="0" collapsed="false">
      <c r="A4" s="10" t="s">
        <v>26</v>
      </c>
      <c r="B4" s="10" t="s">
        <v>28</v>
      </c>
      <c r="C4" s="10" t="s">
        <v>29</v>
      </c>
      <c r="D4" s="10" t="s">
        <v>270</v>
      </c>
      <c r="E4" s="10" t="s">
        <v>271</v>
      </c>
      <c r="F4" s="10" t="s">
        <v>272</v>
      </c>
      <c r="G4" s="10" t="s">
        <v>255</v>
      </c>
      <c r="H4" s="10" t="s">
        <v>273</v>
      </c>
    </row>
    <row r="5" customFormat="false" ht="15" hidden="false" customHeight="false" outlineLevel="0" collapsed="false">
      <c r="A5" s="11" t="s">
        <v>35</v>
      </c>
      <c r="B5" s="4" t="str">
        <f aca="false">'Grille conversion'!C5</f>
        <v>Cible identifiée (senior, parent solo, célibataire)</v>
      </c>
      <c r="C5" s="13" t="n">
        <f aca="false">'Grille conversion'!D5</f>
        <v>5</v>
      </c>
      <c r="D5" s="13" t="n">
        <f aca="false">'Grille conversion'!E5</f>
        <v>1</v>
      </c>
      <c r="E5" s="16" t="n">
        <v>1</v>
      </c>
      <c r="F5" s="13"/>
      <c r="G5" s="17" t="n">
        <v>1</v>
      </c>
      <c r="H5" s="18" t="n">
        <f aca="false">MIN(E5,D5)*C5*G5</f>
        <v>5</v>
      </c>
    </row>
    <row r="6" customFormat="false" ht="15" hidden="false" customHeight="false" outlineLevel="0" collapsed="false">
      <c r="A6" s="11" t="s">
        <v>42</v>
      </c>
      <c r="B6" s="4" t="str">
        <f aca="false">'Grille conversion'!C6</f>
        <v>Coordonnée vérifiée</v>
      </c>
      <c r="C6" s="13" t="n">
        <f aca="false">'Grille conversion'!D6</f>
        <v>3</v>
      </c>
      <c r="D6" s="13" t="n">
        <f aca="false">'Grille conversion'!E6</f>
        <v>1</v>
      </c>
      <c r="E6" s="16" t="n">
        <v>1</v>
      </c>
      <c r="F6" s="13"/>
      <c r="G6" s="17" t="n">
        <v>1</v>
      </c>
      <c r="H6" s="18" t="n">
        <f aca="false">MIN(E6,D6)*C6*G6</f>
        <v>3</v>
      </c>
    </row>
    <row r="7" customFormat="false" ht="15" hidden="false" customHeight="false" outlineLevel="0" collapsed="false">
      <c r="A7" s="11" t="s">
        <v>47</v>
      </c>
      <c r="B7" s="4" t="str">
        <f aca="false">'Grille conversion'!C7</f>
        <v>Consentement newsletter</v>
      </c>
      <c r="C7" s="13" t="n">
        <f aca="false">'Grille conversion'!D7</f>
        <v>2</v>
      </c>
      <c r="D7" s="13" t="n">
        <f aca="false">'Grille conversion'!E7</f>
        <v>1</v>
      </c>
      <c r="E7" s="16" t="n">
        <v>0</v>
      </c>
      <c r="F7" s="13"/>
      <c r="G7" s="17" t="n">
        <v>1</v>
      </c>
      <c r="H7" s="18" t="n">
        <f aca="false">MIN(E7,D7)*C7*G7</f>
        <v>0</v>
      </c>
    </row>
    <row r="8" customFormat="false" ht="15" hidden="false" customHeight="false" outlineLevel="0" collapsed="false">
      <c r="A8" s="11" t="s">
        <v>51</v>
      </c>
      <c r="B8" s="4" t="str">
        <f aca="false">'Grille conversion'!C8</f>
        <v>Consentement WhatsApp</v>
      </c>
      <c r="C8" s="13" t="n">
        <f aca="false">'Grille conversion'!D8</f>
        <v>3</v>
      </c>
      <c r="D8" s="13" t="n">
        <f aca="false">'Grille conversion'!E8</f>
        <v>1</v>
      </c>
      <c r="E8" s="16" t="n">
        <v>0</v>
      </c>
      <c r="F8" s="13"/>
      <c r="G8" s="17" t="n">
        <v>1</v>
      </c>
      <c r="H8" s="18" t="n">
        <f aca="false">MIN(E8,D8)*C8*G8</f>
        <v>0</v>
      </c>
    </row>
    <row r="9" customFormat="false" ht="15" hidden="false" customHeight="false" outlineLevel="0" collapsed="false">
      <c r="A9" s="11" t="s">
        <v>53</v>
      </c>
      <c r="B9" s="4" t="str">
        <f aca="false">'Grille conversion'!C9</f>
        <v>Envie de voyage qui correspond à un départ du planning</v>
      </c>
      <c r="C9" s="13" t="n">
        <f aca="false">'Grille conversion'!D9</f>
        <v>5</v>
      </c>
      <c r="D9" s="13" t="n">
        <f aca="false">'Grille conversion'!E9</f>
        <v>1</v>
      </c>
      <c r="E9" s="16" t="n">
        <v>1</v>
      </c>
      <c r="F9" s="13"/>
      <c r="G9" s="17" t="n">
        <v>1</v>
      </c>
      <c r="H9" s="18" t="n">
        <f aca="false">MIN(E9,D9)*C9*G9</f>
        <v>5</v>
      </c>
    </row>
    <row r="10" customFormat="false" ht="29.85" hidden="false" customHeight="false" outlineLevel="0" collapsed="false">
      <c r="A10" s="11" t="s">
        <v>56</v>
      </c>
      <c r="B10" s="4" t="str">
        <f aca="false">'Grille conversion'!C10</f>
        <v>Dates compatibles avec un départ ouvert (places restantes)</v>
      </c>
      <c r="C10" s="13" t="n">
        <f aca="false">'Grille conversion'!D10</f>
        <v>6</v>
      </c>
      <c r="D10" s="13" t="n">
        <f aca="false">'Grille conversion'!E10</f>
        <v>1</v>
      </c>
      <c r="E10" s="16" t="n">
        <v>1</v>
      </c>
      <c r="F10" s="13"/>
      <c r="G10" s="17" t="n">
        <v>1</v>
      </c>
      <c r="H10" s="18" t="n">
        <f aca="false">MIN(E10,D10)*C10*G10</f>
        <v>6</v>
      </c>
    </row>
    <row r="11" customFormat="false" ht="15" hidden="false" customHeight="false" outlineLevel="0" collapsed="false">
      <c r="A11" s="11" t="s">
        <v>61</v>
      </c>
      <c r="B11" s="4" t="str">
        <f aca="false">'Grille conversion'!C11</f>
        <v>Budget compatible avec le prix du départ visé</v>
      </c>
      <c r="C11" s="13" t="n">
        <f aca="false">'Grille conversion'!D11</f>
        <v>6</v>
      </c>
      <c r="D11" s="13" t="n">
        <f aca="false">'Grille conversion'!E11</f>
        <v>1</v>
      </c>
      <c r="E11" s="16" t="n">
        <v>1</v>
      </c>
      <c r="F11" s="13"/>
      <c r="G11" s="17" t="n">
        <v>1</v>
      </c>
      <c r="H11" s="18" t="n">
        <f aca="false">MIN(E11,D11)*C11*G11</f>
        <v>6</v>
      </c>
    </row>
    <row r="12" customFormat="false" ht="15" hidden="false" customHeight="false" outlineLevel="0" collapsed="false">
      <c r="A12" s="11" t="s">
        <v>64</v>
      </c>
      <c r="B12" s="4" t="str">
        <f aca="false">'Grille conversion'!C12</f>
        <v>Recommandé par un parrain</v>
      </c>
      <c r="C12" s="13" t="n">
        <f aca="false">'Grille conversion'!D12</f>
        <v>11</v>
      </c>
      <c r="D12" s="13" t="n">
        <f aca="false">'Grille conversion'!E12</f>
        <v>1</v>
      </c>
      <c r="E12" s="16" t="n">
        <v>0</v>
      </c>
      <c r="F12" s="13"/>
      <c r="G12" s="17" t="n">
        <v>1</v>
      </c>
      <c r="H12" s="18" t="n">
        <f aca="false">MIN(E12,D12)*C12*G12</f>
        <v>0</v>
      </c>
    </row>
    <row r="13" customFormat="false" ht="15" hidden="false" customHeight="false" outlineLevel="0" collapsed="false">
      <c r="A13" s="11" t="s">
        <v>69</v>
      </c>
      <c r="B13" s="4" t="str">
        <f aca="false">'Grille conversion'!C13</f>
        <v>Rencontre en personne (stand, agence, partenaire)</v>
      </c>
      <c r="C13" s="13" t="n">
        <f aca="false">'Grille conversion'!D13</f>
        <v>4</v>
      </c>
      <c r="D13" s="13" t="n">
        <f aca="false">'Grille conversion'!E13</f>
        <v>1</v>
      </c>
      <c r="E13" s="16" t="n">
        <v>0</v>
      </c>
      <c r="F13" s="13"/>
      <c r="G13" s="17" t="n">
        <v>1</v>
      </c>
      <c r="H13" s="18" t="n">
        <f aca="false">MIN(E13,D13)*C13*G13</f>
        <v>0</v>
      </c>
    </row>
    <row r="14" customFormat="false" ht="15" hidden="false" customHeight="false" outlineLevel="0" collapsed="false">
      <c r="A14" s="11" t="s">
        <v>72</v>
      </c>
      <c r="B14" s="4" t="str">
        <f aca="false">'Grille conversion'!C14</f>
        <v>QR code ou formulaire du site</v>
      </c>
      <c r="C14" s="13" t="n">
        <f aca="false">'Grille conversion'!D14</f>
        <v>3</v>
      </c>
      <c r="D14" s="13" t="n">
        <f aca="false">'Grille conversion'!E14</f>
        <v>1</v>
      </c>
      <c r="E14" s="16" t="n">
        <v>0</v>
      </c>
      <c r="F14" s="13"/>
      <c r="G14" s="17" t="n">
        <v>1</v>
      </c>
      <c r="H14" s="18" t="n">
        <f aca="false">MIN(E14,D14)*C14*G14</f>
        <v>0</v>
      </c>
    </row>
    <row r="15" customFormat="false" ht="15" hidden="false" customHeight="false" outlineLevel="0" collapsed="false">
      <c r="A15" s="11" t="s">
        <v>75</v>
      </c>
      <c r="B15" s="4" t="str">
        <f aca="false">'Grille conversion'!C15</f>
        <v>Clic dans le message de bienvenue vers les offres</v>
      </c>
      <c r="C15" s="13" t="n">
        <f aca="false">'Grille conversion'!D15</f>
        <v>4</v>
      </c>
      <c r="D15" s="13" t="n">
        <f aca="false">'Grille conversion'!E15</f>
        <v>1</v>
      </c>
      <c r="E15" s="16" t="n">
        <v>0</v>
      </c>
      <c r="F15" s="16" t="n">
        <v>0</v>
      </c>
      <c r="G15" s="17" t="n">
        <f aca="false">LOOKUP(F15,'Négatifs et paliers'!$A$21:$A$24,'Négatifs et paliers'!$C$21:$C$24)</f>
        <v>1</v>
      </c>
      <c r="H15" s="18" t="n">
        <f aca="false">MIN(E15,D15)*C15*G15</f>
        <v>0</v>
      </c>
    </row>
    <row r="16" customFormat="false" ht="15" hidden="false" customHeight="false" outlineLevel="0" collapsed="false">
      <c r="A16" s="11" t="s">
        <v>80</v>
      </c>
      <c r="B16" s="4" t="str">
        <f aca="false">'Grille conversion'!C16</f>
        <v>Clic dans la newsletter vers une offre</v>
      </c>
      <c r="C16" s="13" t="n">
        <f aca="false">'Grille conversion'!D16</f>
        <v>3</v>
      </c>
      <c r="D16" s="13" t="n">
        <f aca="false">'Grille conversion'!E16</f>
        <v>3</v>
      </c>
      <c r="E16" s="16" t="n">
        <v>0</v>
      </c>
      <c r="F16" s="16" t="n">
        <v>0</v>
      </c>
      <c r="G16" s="17" t="n">
        <f aca="false">LOOKUP(F16,'Négatifs et paliers'!$A$21:$A$24,'Négatifs et paliers'!$C$21:$C$24)</f>
        <v>1</v>
      </c>
      <c r="H16" s="18" t="n">
        <f aca="false">MIN(E16,D16)*C16*G16</f>
        <v>0</v>
      </c>
    </row>
    <row r="17" customFormat="false" ht="15" hidden="false" customHeight="false" outlineLevel="0" collapsed="false">
      <c r="A17" s="11" t="s">
        <v>83</v>
      </c>
      <c r="B17" s="4" t="str">
        <f aca="false">'Grille conversion'!C17</f>
        <v>Commentaire ou DM sans question précise</v>
      </c>
      <c r="C17" s="13" t="n">
        <f aca="false">'Grille conversion'!D17</f>
        <v>3</v>
      </c>
      <c r="D17" s="13" t="n">
        <f aca="false">'Grille conversion'!E17</f>
        <v>2</v>
      </c>
      <c r="E17" s="16" t="n">
        <v>0</v>
      </c>
      <c r="F17" s="16" t="n">
        <v>0</v>
      </c>
      <c r="G17" s="17" t="n">
        <f aca="false">LOOKUP(F17,'Négatifs et paliers'!$A$21:$A$24,'Négatifs et paliers'!$C$21:$C$24)</f>
        <v>1</v>
      </c>
      <c r="H17" s="18" t="n">
        <f aca="false">MIN(E17,D17)*C17*G17</f>
        <v>0</v>
      </c>
    </row>
    <row r="18" customFormat="false" ht="15" hidden="false" customHeight="false" outlineLevel="0" collapsed="false">
      <c r="A18" s="11" t="s">
        <v>87</v>
      </c>
      <c r="B18" s="4" t="str">
        <f aca="false">'Grille conversion'!C18</f>
        <v>Programme téléchargé via formulaire</v>
      </c>
      <c r="C18" s="13" t="n">
        <f aca="false">'Grille conversion'!D18</f>
        <v>4</v>
      </c>
      <c r="D18" s="13" t="n">
        <f aca="false">'Grille conversion'!E18</f>
        <v>1</v>
      </c>
      <c r="E18" s="16" t="n">
        <v>0</v>
      </c>
      <c r="F18" s="16" t="n">
        <v>0</v>
      </c>
      <c r="G18" s="17" t="n">
        <f aca="false">LOOKUP(F18,'Négatifs et paliers'!$A$21:$A$24,'Négatifs et paliers'!$C$21:$C$24)</f>
        <v>1</v>
      </c>
      <c r="H18" s="18" t="n">
        <f aca="false">MIN(E18,D18)*C18*G18</f>
        <v>0</v>
      </c>
    </row>
    <row r="19" customFormat="false" ht="15" hidden="false" customHeight="false" outlineLevel="0" collapsed="false">
      <c r="A19" s="11" t="s">
        <v>90</v>
      </c>
      <c r="B19" s="4" t="str">
        <f aca="false">'Grille conversion'!C19</f>
        <v>Demande écrite avec une question sur un voyage</v>
      </c>
      <c r="C19" s="13" t="n">
        <f aca="false">'Grille conversion'!D19</f>
        <v>10</v>
      </c>
      <c r="D19" s="13" t="n">
        <f aca="false">'Grille conversion'!E19</f>
        <v>1</v>
      </c>
      <c r="E19" s="16" t="n">
        <v>0</v>
      </c>
      <c r="F19" s="16" t="n">
        <v>0</v>
      </c>
      <c r="G19" s="17" t="n">
        <f aca="false">LOOKUP(F19,'Négatifs et paliers'!$A$21:$A$24,'Négatifs et paliers'!$C$21:$C$24)</f>
        <v>1</v>
      </c>
      <c r="H19" s="18" t="n">
        <f aca="false">MIN(E19,D19)*C19*G19</f>
        <v>0</v>
      </c>
    </row>
    <row r="20" customFormat="false" ht="15" hidden="false" customHeight="false" outlineLevel="0" collapsed="false">
      <c r="A20" s="11" t="s">
        <v>94</v>
      </c>
      <c r="B20" s="4" t="str">
        <f aca="false">'Grille conversion'!C20</f>
        <v>Appel entrant à l'agence</v>
      </c>
      <c r="C20" s="13" t="n">
        <f aca="false">'Grille conversion'!D20</f>
        <v>15</v>
      </c>
      <c r="D20" s="13" t="n">
        <f aca="false">'Grille conversion'!E20</f>
        <v>1</v>
      </c>
      <c r="E20" s="16" t="n">
        <v>1</v>
      </c>
      <c r="F20" s="16" t="n">
        <v>8</v>
      </c>
      <c r="G20" s="17" t="n">
        <f aca="false">LOOKUP(F20,'Négatifs et paliers'!$A$21:$A$24,'Négatifs et paliers'!$C$21:$C$24)</f>
        <v>1</v>
      </c>
      <c r="H20" s="18" t="n">
        <f aca="false">MIN(E20,D20)*C20*G20</f>
        <v>15</v>
      </c>
    </row>
    <row r="21" customFormat="false" ht="15" hidden="false" customHeight="false" outlineLevel="0" collapsed="false">
      <c r="A21" s="11" t="s">
        <v>97</v>
      </c>
      <c r="B21" s="4" t="str">
        <f aca="false">'Grille conversion'!C21</f>
        <v>Visite spontanée à l'agence</v>
      </c>
      <c r="C21" s="13" t="n">
        <f aca="false">'Grille conversion'!D21</f>
        <v>15</v>
      </c>
      <c r="D21" s="13" t="n">
        <f aca="false">'Grille conversion'!E21</f>
        <v>1</v>
      </c>
      <c r="E21" s="16" t="n">
        <v>0</v>
      </c>
      <c r="F21" s="16" t="n">
        <v>0</v>
      </c>
      <c r="G21" s="17" t="n">
        <f aca="false">LOOKUP(F21,'Négatifs et paliers'!$A$21:$A$24,'Négatifs et paliers'!$C$21:$C$24)</f>
        <v>1</v>
      </c>
      <c r="H21" s="18" t="n">
        <f aca="false">MIN(E21,D21)*C21*G21</f>
        <v>0</v>
      </c>
    </row>
    <row r="22" customFormat="false" ht="15" hidden="false" customHeight="false" outlineLevel="0" collapsed="false">
      <c r="A22" s="11" t="s">
        <v>100</v>
      </c>
      <c r="B22" s="4" t="str">
        <f aca="false">'Grille conversion'!C22</f>
        <v>Réponse à une relance (J+3, J+7)</v>
      </c>
      <c r="C22" s="13" t="n">
        <f aca="false">'Grille conversion'!D22</f>
        <v>4</v>
      </c>
      <c r="D22" s="13" t="n">
        <f aca="false">'Grille conversion'!E22</f>
        <v>2</v>
      </c>
      <c r="E22" s="16" t="n">
        <v>0</v>
      </c>
      <c r="F22" s="16" t="n">
        <v>0</v>
      </c>
      <c r="G22" s="17" t="n">
        <f aca="false">LOOKUP(F22,'Négatifs et paliers'!$A$21:$A$24,'Négatifs et paliers'!$C$21:$C$24)</f>
        <v>1</v>
      </c>
      <c r="H22" s="18" t="n">
        <f aca="false">MIN(E22,D22)*C22*G22</f>
        <v>0</v>
      </c>
    </row>
    <row r="23" customFormat="false" ht="15" hidden="false" customHeight="false" outlineLevel="0" collapsed="false">
      <c r="A23" s="11" t="s">
        <v>104</v>
      </c>
      <c r="B23" s="4" t="str">
        <f aca="false">'Grille conversion'!C23</f>
        <v>Rendez-vous découverte accepté</v>
      </c>
      <c r="C23" s="13" t="n">
        <f aca="false">'Grille conversion'!D23</f>
        <v>6</v>
      </c>
      <c r="D23" s="13" t="n">
        <f aca="false">'Grille conversion'!E23</f>
        <v>1</v>
      </c>
      <c r="E23" s="16" t="n">
        <v>1</v>
      </c>
      <c r="F23" s="16" t="n">
        <v>3</v>
      </c>
      <c r="G23" s="17" t="n">
        <f aca="false">LOOKUP(F23,'Négatifs et paliers'!$A$21:$A$24,'Négatifs et paliers'!$C$21:$C$24)</f>
        <v>1</v>
      </c>
      <c r="H23" s="18" t="n">
        <f aca="false">MIN(E23,D23)*C23*G23</f>
        <v>6</v>
      </c>
    </row>
    <row r="24" customFormat="false" ht="15" hidden="false" customHeight="false" outlineLevel="0" collapsed="false">
      <c r="A24" s="11" t="s">
        <v>108</v>
      </c>
      <c r="B24" s="4" t="str">
        <f aca="false">'Grille conversion'!C24</f>
        <v>Rendez-vous découverte réalisé</v>
      </c>
      <c r="C24" s="13" t="n">
        <f aca="false">'Grille conversion'!D24</f>
        <v>12</v>
      </c>
      <c r="D24" s="13" t="n">
        <f aca="false">'Grille conversion'!E24</f>
        <v>1</v>
      </c>
      <c r="E24" s="16" t="n">
        <v>1</v>
      </c>
      <c r="F24" s="16" t="n">
        <v>3</v>
      </c>
      <c r="G24" s="17" t="n">
        <f aca="false">LOOKUP(F24,'Négatifs et paliers'!$A$21:$A$24,'Négatifs et paliers'!$C$21:$C$24)</f>
        <v>1</v>
      </c>
      <c r="H24" s="18" t="n">
        <f aca="false">MIN(E24,D24)*C24*G24</f>
        <v>12</v>
      </c>
    </row>
    <row r="25" customFormat="false" ht="15" hidden="false" customHeight="false" outlineLevel="0" collapsed="false">
      <c r="A25" s="11" t="s">
        <v>111</v>
      </c>
      <c r="B25" s="4" t="str">
        <f aca="false">'Grille conversion'!C25</f>
        <v>Accord pour recevoir un devis</v>
      </c>
      <c r="C25" s="13" t="n">
        <f aca="false">'Grille conversion'!D25</f>
        <v>8</v>
      </c>
      <c r="D25" s="13" t="n">
        <f aca="false">'Grille conversion'!E25</f>
        <v>1</v>
      </c>
      <c r="E25" s="16" t="n">
        <v>1</v>
      </c>
      <c r="F25" s="16" t="n">
        <v>3</v>
      </c>
      <c r="G25" s="17" t="n">
        <f aca="false">LOOKUP(F25,'Négatifs et paliers'!$A$21:$A$24,'Négatifs et paliers'!$C$21:$C$24)</f>
        <v>1</v>
      </c>
      <c r="H25" s="18" t="n">
        <f aca="false">MIN(E25,D25)*C25*G25</f>
        <v>8</v>
      </c>
    </row>
    <row r="26" customFormat="false" ht="15" hidden="false" customHeight="false" outlineLevel="0" collapsed="false">
      <c r="A26" s="11" t="s">
        <v>114</v>
      </c>
      <c r="B26" s="4" t="str">
        <f aca="false">'Grille conversion'!C26</f>
        <v>Appel de relance J+3 abouti</v>
      </c>
      <c r="C26" s="13" t="n">
        <f aca="false">'Grille conversion'!D26</f>
        <v>5</v>
      </c>
      <c r="D26" s="13" t="n">
        <f aca="false">'Grille conversion'!E26</f>
        <v>1</v>
      </c>
      <c r="E26" s="16" t="n">
        <v>1</v>
      </c>
      <c r="F26" s="16" t="n">
        <v>0</v>
      </c>
      <c r="G26" s="17" t="n">
        <f aca="false">LOOKUP(F26,'Négatifs et paliers'!$A$21:$A$24,'Négatifs et paliers'!$C$21:$C$24)</f>
        <v>1</v>
      </c>
      <c r="H26" s="18" t="n">
        <f aca="false">MIN(E26,D26)*C26*G26</f>
        <v>5</v>
      </c>
    </row>
    <row r="27" customFormat="false" ht="29.85" hidden="false" customHeight="false" outlineLevel="0" collapsed="false">
      <c r="A27" s="11" t="s">
        <v>119</v>
      </c>
      <c r="B27" s="4" t="str">
        <f aca="false">'Grille conversion'!C27</f>
        <v>Question sur les modalités (acompte, chèques-vacances, binôme)</v>
      </c>
      <c r="C27" s="13" t="n">
        <f aca="false">'Grille conversion'!D27</f>
        <v>6</v>
      </c>
      <c r="D27" s="13" t="n">
        <f aca="false">'Grille conversion'!E27</f>
        <v>1</v>
      </c>
      <c r="E27" s="16" t="n">
        <v>1</v>
      </c>
      <c r="F27" s="16" t="n">
        <v>0</v>
      </c>
      <c r="G27" s="17" t="n">
        <f aca="false">LOOKUP(F27,'Négatifs et paliers'!$A$21:$A$24,'Négatifs et paliers'!$C$21:$C$24)</f>
        <v>1</v>
      </c>
      <c r="H27" s="18" t="n">
        <f aca="false">MIN(E27,D27)*C27*G27</f>
        <v>6</v>
      </c>
    </row>
    <row r="28" customFormat="false" ht="15" hidden="false" customHeight="false" outlineLevel="0" collapsed="false">
      <c r="A28" s="11" t="s">
        <v>123</v>
      </c>
      <c r="B28" s="4" t="str">
        <f aca="false">'Grille conversion'!C28</f>
        <v>Venue à un événement ouvert à tous</v>
      </c>
      <c r="C28" s="13" t="n">
        <f aca="false">'Grille conversion'!D28</f>
        <v>8</v>
      </c>
      <c r="D28" s="13" t="n">
        <f aca="false">'Grille conversion'!E28</f>
        <v>1</v>
      </c>
      <c r="E28" s="16" t="n">
        <v>0</v>
      </c>
      <c r="F28" s="16" t="n">
        <v>0</v>
      </c>
      <c r="G28" s="17" t="n">
        <f aca="false">LOOKUP(F28,'Négatifs et paliers'!$A$21:$A$24,'Négatifs et paliers'!$C$21:$C$24)</f>
        <v>1</v>
      </c>
      <c r="H28" s="18" t="n">
        <f aca="false">MIN(E28,D28)*C28*G28</f>
        <v>0</v>
      </c>
    </row>
    <row r="29" customFormat="false" ht="15" hidden="false" customHeight="false" outlineLevel="0" collapsed="false">
      <c r="A29" s="11" t="s">
        <v>127</v>
      </c>
      <c r="B29" s="4" t="str">
        <f aca="false">'Grille conversion'!C29</f>
        <v>Demande de liste d'attente sur un départ complet</v>
      </c>
      <c r="C29" s="13" t="n">
        <f aca="false">'Grille conversion'!D29</f>
        <v>6</v>
      </c>
      <c r="D29" s="13" t="n">
        <f aca="false">'Grille conversion'!E29</f>
        <v>1</v>
      </c>
      <c r="E29" s="16" t="n">
        <v>0</v>
      </c>
      <c r="F29" s="16" t="n">
        <v>0</v>
      </c>
      <c r="G29" s="17" t="n">
        <f aca="false">LOOKUP(F29,'Négatifs et paliers'!$A$21:$A$24,'Négatifs et paliers'!$C$21:$C$24)</f>
        <v>1</v>
      </c>
      <c r="H29" s="18" t="n">
        <f aca="false">MIN(E29,D29)*C29*G29</f>
        <v>0</v>
      </c>
    </row>
    <row r="31" customFormat="false" ht="15" hidden="false" customHeight="false" outlineLevel="0" collapsed="false">
      <c r="A31" s="5" t="s">
        <v>274</v>
      </c>
    </row>
    <row r="32" customFormat="false" ht="15" hidden="false" customHeight="false" outlineLevel="0" collapsed="false">
      <c r="A32" s="11" t="s">
        <v>218</v>
      </c>
      <c r="B32" s="4" t="str">
        <f aca="false">'Négatifs et paliers'!C5</f>
        <v>Désinscription de la newsletter</v>
      </c>
      <c r="C32" s="13" t="n">
        <f aca="false">'Négatifs et paliers'!D5</f>
        <v>-5</v>
      </c>
      <c r="D32" s="13" t="n">
        <v>1</v>
      </c>
      <c r="E32" s="16" t="n">
        <v>0</v>
      </c>
      <c r="H32" s="13" t="n">
        <f aca="false">MIN(E32,D32)*C32</f>
        <v>-0</v>
      </c>
    </row>
    <row r="33" customFormat="false" ht="15" hidden="false" customHeight="false" outlineLevel="0" collapsed="false">
      <c r="A33" s="11" t="s">
        <v>222</v>
      </c>
      <c r="B33" s="4" t="str">
        <f aca="false">'Négatifs et paliers'!C6</f>
        <v>Retrait du consentement WhatsApp</v>
      </c>
      <c r="C33" s="13" t="n">
        <f aca="false">'Négatifs et paliers'!D6</f>
        <v>-3</v>
      </c>
      <c r="D33" s="13" t="n">
        <v>1</v>
      </c>
      <c r="E33" s="16" t="n">
        <v>0</v>
      </c>
      <c r="H33" s="13" t="n">
        <f aca="false">MIN(E33,D33)*C33</f>
        <v>-0</v>
      </c>
    </row>
    <row r="34" customFormat="false" ht="29.85" hidden="false" customHeight="false" outlineLevel="0" collapsed="false">
      <c r="A34" s="11" t="s">
        <v>225</v>
      </c>
      <c r="B34" s="4" t="str">
        <f aca="false">'Négatifs et paliers'!C7</f>
        <v>Coordonnée invalide (rebond, numéro non attribué) ; P2 retiré</v>
      </c>
      <c r="C34" s="13" t="n">
        <f aca="false">'Négatifs et paliers'!D7</f>
        <v>-5</v>
      </c>
      <c r="D34" s="13" t="n">
        <v>1</v>
      </c>
      <c r="E34" s="16" t="n">
        <v>0</v>
      </c>
      <c r="H34" s="13" t="n">
        <f aca="false">MIN(E34,D34)*C34</f>
        <v>-0</v>
      </c>
    </row>
    <row r="35" customFormat="false" ht="15" hidden="false" customHeight="false" outlineLevel="0" collapsed="false">
      <c r="A35" s="11" t="s">
        <v>228</v>
      </c>
      <c r="B35" s="4" t="str">
        <f aca="false">'Négatifs et paliers'!C8</f>
        <v>Rendez-vous découverte non honoré sans prévenir</v>
      </c>
      <c r="C35" s="13" t="n">
        <f aca="false">'Négatifs et paliers'!D8</f>
        <v>-8</v>
      </c>
      <c r="D35" s="13" t="n">
        <v>1</v>
      </c>
      <c r="E35" s="16" t="n">
        <v>0</v>
      </c>
      <c r="H35" s="13" t="n">
        <f aca="false">MIN(E35,D35)*C35</f>
        <v>-0</v>
      </c>
    </row>
    <row r="36" customFormat="false" ht="15" hidden="false" customHeight="false" outlineLevel="0" collapsed="false">
      <c r="A36" s="11" t="s">
        <v>231</v>
      </c>
      <c r="B36" s="4" t="str">
        <f aca="false">'Négatifs et paliers'!C9</f>
        <v>Devis arrivé à expiration sans réponse (J+30)</v>
      </c>
      <c r="C36" s="13" t="n">
        <f aca="false">'Négatifs et paliers'!D9</f>
        <v>-10</v>
      </c>
      <c r="D36" s="13" t="n">
        <v>1</v>
      </c>
      <c r="E36" s="16" t="n">
        <v>0</v>
      </c>
      <c r="H36" s="13" t="n">
        <f aca="false">MIN(E36,D36)*C36</f>
        <v>-0</v>
      </c>
    </row>
    <row r="37" customFormat="false" ht="15" hidden="false" customHeight="false" outlineLevel="0" collapsed="false">
      <c r="A37" s="11" t="s">
        <v>234</v>
      </c>
      <c r="B37" s="4" t="str">
        <f aca="false">'Négatifs et paliers'!C10</f>
        <v>Refus explicite (« pas pour le moment »)</v>
      </c>
      <c r="C37" s="13" t="n">
        <f aca="false">'Négatifs et paliers'!D10</f>
        <v>-15</v>
      </c>
      <c r="D37" s="13" t="n">
        <v>1</v>
      </c>
      <c r="E37" s="16" t="n">
        <v>0</v>
      </c>
      <c r="H37" s="13" t="n">
        <f aca="false">MIN(E37,D37)*C37</f>
        <v>-0</v>
      </c>
    </row>
    <row r="39" customFormat="false" ht="17.15" hidden="false" customHeight="false" outlineLevel="0" collapsed="false">
      <c r="F39" s="19" t="s">
        <v>275</v>
      </c>
      <c r="G39" s="19"/>
      <c r="H39" s="14" t="n">
        <f aca="false">MIN(30,SUM(H5:H11))</f>
        <v>25</v>
      </c>
    </row>
    <row r="40" customFormat="false" ht="17.15" hidden="false" customHeight="false" outlineLevel="0" collapsed="false">
      <c r="F40" s="19" t="s">
        <v>276</v>
      </c>
      <c r="G40" s="19"/>
      <c r="H40" s="14" t="n">
        <f aca="false">MAX(H12:H14)</f>
        <v>0</v>
      </c>
    </row>
    <row r="41" customFormat="false" ht="17.15" hidden="false" customHeight="false" outlineLevel="0" collapsed="false">
      <c r="F41" s="19" t="s">
        <v>132</v>
      </c>
      <c r="G41" s="19"/>
      <c r="H41" s="14" t="n">
        <f aca="false">MIN(12,SUM(H15:H18))</f>
        <v>0</v>
      </c>
    </row>
    <row r="42" customFormat="false" ht="17.15" hidden="false" customHeight="false" outlineLevel="0" collapsed="false">
      <c r="F42" s="19" t="s">
        <v>277</v>
      </c>
      <c r="G42" s="19"/>
      <c r="H42" s="14" t="n">
        <f aca="false">SUM(H19:H29)</f>
        <v>52</v>
      </c>
    </row>
    <row r="43" customFormat="false" ht="17.15" hidden="false" customHeight="false" outlineLevel="0" collapsed="false">
      <c r="F43" s="19" t="s">
        <v>278</v>
      </c>
      <c r="G43" s="19"/>
      <c r="H43" s="14" t="n">
        <f aca="false">MIN(70,H40+H41+H42)</f>
        <v>52</v>
      </c>
    </row>
    <row r="44" customFormat="false" ht="17.15" hidden="false" customHeight="false" outlineLevel="0" collapsed="false">
      <c r="F44" s="19" t="s">
        <v>16</v>
      </c>
      <c r="G44" s="19"/>
      <c r="H44" s="14" t="n">
        <f aca="false">SUM(H32:H37)</f>
        <v>0</v>
      </c>
    </row>
    <row r="45" customFormat="false" ht="17.15" hidden="false" customHeight="false" outlineLevel="0" collapsed="false">
      <c r="F45" s="19" t="s">
        <v>279</v>
      </c>
      <c r="G45" s="19"/>
      <c r="H45" s="14" t="n">
        <f aca="false">ROUND(MAX(0,MIN(100,H39+H43+H44)),0)</f>
        <v>77</v>
      </c>
    </row>
    <row r="46" customFormat="false" ht="32.8" hidden="false" customHeight="false" outlineLevel="0" collapsed="false">
      <c r="F46" s="19" t="s">
        <v>280</v>
      </c>
      <c r="G46" s="19"/>
      <c r="H46" s="14" t="str">
        <f aca="false">LOOKUP(H45,'Négatifs et paliers'!$A$29:$A$32,'Négatifs et paliers'!$B$29:$B$32)</f>
        <v>Prêt à réserver</v>
      </c>
    </row>
  </sheetData>
  <mergeCells count="8">
    <mergeCell ref="F39:G39"/>
    <mergeCell ref="F40:G40"/>
    <mergeCell ref="F41:G41"/>
    <mergeCell ref="F42:G42"/>
    <mergeCell ref="F43:G43"/>
    <mergeCell ref="F44:G44"/>
    <mergeCell ref="F45:G45"/>
    <mergeCell ref="F46:G46"/>
  </mergeCells>
  <dataValidations count="1">
    <dataValidation allowBlank="true" errorStyle="stop" operator="between" showDropDown="false" showErrorMessage="false" showInputMessage="false" sqref="E5:E29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3C71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29.85" hidden="false" customHeight="false" outlineLevel="0" collapsed="false">
      <c r="A4" s="10" t="s">
        <v>26</v>
      </c>
      <c r="B4" s="10" t="s">
        <v>27</v>
      </c>
      <c r="C4" s="10" t="s">
        <v>28</v>
      </c>
      <c r="D4" s="10" t="s">
        <v>31</v>
      </c>
      <c r="E4" s="10" t="s">
        <v>283</v>
      </c>
      <c r="F4" s="10" t="s">
        <v>19</v>
      </c>
      <c r="G4" s="10" t="s">
        <v>284</v>
      </c>
      <c r="H4" s="10" t="s">
        <v>273</v>
      </c>
    </row>
    <row r="5" customFormat="false" ht="15" hidden="false" customHeight="false" outlineLevel="0" collapsed="false">
      <c r="A5" s="11" t="s">
        <v>140</v>
      </c>
      <c r="B5" s="13" t="s">
        <v>141</v>
      </c>
      <c r="C5" s="4" t="str">
        <f aca="false">'Grille engagement'!C5</f>
        <v>Appel de bienvenue abouti sous 48 h</v>
      </c>
      <c r="D5" s="13" t="n">
        <f aca="false">'Grille engagement'!D5</f>
        <v>4</v>
      </c>
      <c r="E5" s="16" t="n">
        <v>1</v>
      </c>
      <c r="F5" s="16" t="n">
        <v>1</v>
      </c>
      <c r="G5" s="13" t="n">
        <f aca="false">D5*E5</f>
        <v>4</v>
      </c>
      <c r="H5" s="13" t="n">
        <f aca="false">E5*MIN(F5,1)*D5</f>
        <v>4</v>
      </c>
    </row>
    <row r="6" customFormat="false" ht="15" hidden="false" customHeight="false" outlineLevel="0" collapsed="false">
      <c r="A6" s="11" t="s">
        <v>146</v>
      </c>
      <c r="B6" s="13" t="s">
        <v>141</v>
      </c>
      <c r="C6" s="4" t="str">
        <f aca="false">'Grille engagement'!C6</f>
        <v>Message posté dans le groupe WhatsApp du voyage</v>
      </c>
      <c r="D6" s="13" t="n">
        <f aca="false">'Grille engagement'!D6</f>
        <v>4</v>
      </c>
      <c r="E6" s="16" t="n">
        <v>1</v>
      </c>
      <c r="F6" s="16" t="n">
        <v>0</v>
      </c>
      <c r="G6" s="13" t="n">
        <f aca="false">D6*E6</f>
        <v>4</v>
      </c>
      <c r="H6" s="13" t="n">
        <f aca="false">E6*MIN(F6,1)*D6</f>
        <v>0</v>
      </c>
    </row>
    <row r="7" customFormat="false" ht="15" hidden="false" customHeight="false" outlineLevel="0" collapsed="false">
      <c r="A7" s="11" t="s">
        <v>150</v>
      </c>
      <c r="B7" s="13" t="s">
        <v>141</v>
      </c>
      <c r="C7" s="4" t="str">
        <f aca="false">'Grille engagement'!C7</f>
        <v>Solde réglé à l'échéance (J-60)</v>
      </c>
      <c r="D7" s="13" t="n">
        <f aca="false">'Grille engagement'!D7</f>
        <v>4</v>
      </c>
      <c r="E7" s="16" t="n">
        <v>1</v>
      </c>
      <c r="F7" s="16" t="n">
        <v>1</v>
      </c>
      <c r="G7" s="13" t="n">
        <f aca="false">D7*E7</f>
        <v>4</v>
      </c>
      <c r="H7" s="13" t="n">
        <f aca="false">E7*MIN(F7,1)*D7</f>
        <v>4</v>
      </c>
    </row>
    <row r="8" customFormat="false" ht="15" hidden="false" customHeight="false" outlineLevel="0" collapsed="false">
      <c r="A8" s="11" t="s">
        <v>153</v>
      </c>
      <c r="B8" s="13" t="s">
        <v>141</v>
      </c>
      <c r="C8" s="4" t="str">
        <f aca="false">'Grille engagement'!C8</f>
        <v>Présent au Soli'apéro brise-glace</v>
      </c>
      <c r="D8" s="13" t="n">
        <f aca="false">'Grille engagement'!D8</f>
        <v>8</v>
      </c>
      <c r="E8" s="16" t="n">
        <v>1</v>
      </c>
      <c r="F8" s="16" t="n">
        <v>1</v>
      </c>
      <c r="G8" s="13" t="n">
        <f aca="false">D8*E8</f>
        <v>8</v>
      </c>
      <c r="H8" s="13" t="n">
        <f aca="false">E8*MIN(F8,1)*D8</f>
        <v>8</v>
      </c>
    </row>
    <row r="9" customFormat="false" ht="15" hidden="false" customHeight="false" outlineLevel="0" collapsed="false">
      <c r="A9" s="11" t="s">
        <v>157</v>
      </c>
      <c r="B9" s="13" t="s">
        <v>158</v>
      </c>
      <c r="C9" s="4" t="str">
        <f aca="false">'Grille engagement'!C9</f>
        <v>Satisfaction à chaud</v>
      </c>
      <c r="D9" s="13" t="n">
        <f aca="false">'Grille engagement'!D9</f>
        <v>12</v>
      </c>
      <c r="E9" s="16" t="n">
        <v>1</v>
      </c>
      <c r="F9" s="16" t="n">
        <v>9</v>
      </c>
      <c r="G9" s="13" t="n">
        <f aca="false">D9*E9</f>
        <v>12</v>
      </c>
      <c r="H9" s="13" t="n">
        <f aca="false">E9*IF(F9&gt;=9,D9,IF(F9&gt;=7,D9/2,0))</f>
        <v>12</v>
      </c>
    </row>
    <row r="10" customFormat="false" ht="15" hidden="false" customHeight="false" outlineLevel="0" collapsed="false">
      <c r="A10" s="11" t="s">
        <v>163</v>
      </c>
      <c r="B10" s="13" t="s">
        <v>158</v>
      </c>
      <c r="C10" s="4" t="str">
        <f aca="false">'Grille engagement'!C10</f>
        <v>Aucun incident resté sans solution en fin de séjour</v>
      </c>
      <c r="D10" s="13" t="n">
        <f aca="false">'Grille engagement'!D10</f>
        <v>4</v>
      </c>
      <c r="E10" s="16" t="n">
        <v>1</v>
      </c>
      <c r="F10" s="16" t="n">
        <v>1</v>
      </c>
      <c r="G10" s="13" t="n">
        <f aca="false">D10*E10</f>
        <v>4</v>
      </c>
      <c r="H10" s="13" t="n">
        <f aca="false">E10*MIN(F10,1)*D10</f>
        <v>4</v>
      </c>
    </row>
    <row r="11" customFormat="false" ht="15" hidden="false" customHeight="false" outlineLevel="0" collapsed="false">
      <c r="A11" s="11" t="s">
        <v>167</v>
      </c>
      <c r="B11" s="13" t="s">
        <v>158</v>
      </c>
      <c r="C11" s="4" t="str">
        <f aca="false">'Grille engagement'!C11</f>
        <v>Photos ou messages partagés dans le groupe</v>
      </c>
      <c r="D11" s="13" t="n">
        <f aca="false">'Grille engagement'!D11</f>
        <v>4</v>
      </c>
      <c r="E11" s="16" t="n">
        <v>1</v>
      </c>
      <c r="F11" s="16" t="n">
        <v>1</v>
      </c>
      <c r="G11" s="13" t="n">
        <f aca="false">D11*E11</f>
        <v>4</v>
      </c>
      <c r="H11" s="13" t="n">
        <f aca="false">E11*MIN(F11,1)*D11</f>
        <v>4</v>
      </c>
    </row>
    <row r="12" customFormat="false" ht="15" hidden="false" customHeight="false" outlineLevel="0" collapsed="false">
      <c r="A12" s="11" t="s">
        <v>170</v>
      </c>
      <c r="B12" s="13" t="s">
        <v>171</v>
      </c>
      <c r="C12" s="4" t="str">
        <f aca="false">'Grille engagement'!C12</f>
        <v>Présent au Soli'apéro retour</v>
      </c>
      <c r="D12" s="13" t="n">
        <f aca="false">'Grille engagement'!D12</f>
        <v>8</v>
      </c>
      <c r="E12" s="16" t="n">
        <v>1</v>
      </c>
      <c r="F12" s="16" t="n">
        <v>1</v>
      </c>
      <c r="G12" s="13" t="n">
        <f aca="false">D12*E12</f>
        <v>8</v>
      </c>
      <c r="H12" s="13" t="n">
        <f aca="false">E12*MIN(F12,1)*D12</f>
        <v>8</v>
      </c>
    </row>
    <row r="13" customFormat="false" ht="15" hidden="false" customHeight="false" outlineLevel="0" collapsed="false">
      <c r="A13" s="11" t="s">
        <v>174</v>
      </c>
      <c r="B13" s="13" t="s">
        <v>171</v>
      </c>
      <c r="C13" s="4" t="str">
        <f aca="false">'Grille engagement'!C13</f>
        <v>Note de recommandation (NPS)</v>
      </c>
      <c r="D13" s="13" t="n">
        <f aca="false">'Grille engagement'!D13</f>
        <v>10</v>
      </c>
      <c r="E13" s="16" t="n">
        <v>1</v>
      </c>
      <c r="F13" s="16" t="n">
        <v>10</v>
      </c>
      <c r="G13" s="13" t="n">
        <f aca="false">D13*E13</f>
        <v>10</v>
      </c>
      <c r="H13" s="13" t="n">
        <f aca="false">E13*IF(F13&gt;=9,D13,IF(F13&gt;=7,D13/2,0))</f>
        <v>10</v>
      </c>
    </row>
    <row r="14" customFormat="false" ht="15" hidden="false" customHeight="false" outlineLevel="0" collapsed="false">
      <c r="A14" s="11" t="s">
        <v>179</v>
      </c>
      <c r="B14" s="13" t="s">
        <v>171</v>
      </c>
      <c r="C14" s="4" t="str">
        <f aca="false">'Grille engagement'!C14</f>
        <v>Avis Google publié</v>
      </c>
      <c r="D14" s="13" t="n">
        <f aca="false">'Grille engagement'!D14</f>
        <v>7</v>
      </c>
      <c r="E14" s="16" t="n">
        <v>1</v>
      </c>
      <c r="F14" s="16" t="n">
        <v>1</v>
      </c>
      <c r="G14" s="13" t="n">
        <f aca="false">D14*E14</f>
        <v>7</v>
      </c>
      <c r="H14" s="13" t="n">
        <f aca="false">E14*MIN(F14,1)*D14</f>
        <v>7</v>
      </c>
    </row>
    <row r="15" customFormat="false" ht="15" hidden="false" customHeight="false" outlineLevel="0" collapsed="false">
      <c r="A15" s="11" t="s">
        <v>184</v>
      </c>
      <c r="B15" s="13" t="s">
        <v>185</v>
      </c>
      <c r="C15" s="4" t="str">
        <f aca="false">'Grille engagement'!C15</f>
        <v>Abonnement souscrit et actif</v>
      </c>
      <c r="D15" s="13" t="n">
        <f aca="false">'Grille engagement'!D15</f>
        <v>10</v>
      </c>
      <c r="E15" s="16" t="n">
        <v>1</v>
      </c>
      <c r="F15" s="16" t="n">
        <v>1</v>
      </c>
      <c r="G15" s="13" t="n">
        <f aca="false">D15*E15</f>
        <v>10</v>
      </c>
      <c r="H15" s="13" t="n">
        <f aca="false">E15*MIN(F15,1)*D15</f>
        <v>10</v>
      </c>
    </row>
    <row r="16" customFormat="false" ht="29.85" hidden="false" customHeight="false" outlineLevel="0" collapsed="false">
      <c r="A16" s="11" t="s">
        <v>190</v>
      </c>
      <c r="B16" s="13" t="s">
        <v>185</v>
      </c>
      <c r="C16" s="4" t="str">
        <f aca="false">'Grille engagement'!C16</f>
        <v>Activité ou événement fréquenté dans les 30 derniers jours</v>
      </c>
      <c r="D16" s="13" t="n">
        <f aca="false">'Grille engagement'!D16</f>
        <v>10</v>
      </c>
      <c r="E16" s="16" t="n">
        <v>1</v>
      </c>
      <c r="F16" s="16" t="n">
        <v>1</v>
      </c>
      <c r="G16" s="13" t="n">
        <f aca="false">D16*E16</f>
        <v>10</v>
      </c>
      <c r="H16" s="13" t="n">
        <f aca="false">E16*MIN(F16,1)*D16</f>
        <v>10</v>
      </c>
    </row>
    <row r="17" customFormat="false" ht="15" hidden="false" customHeight="false" outlineLevel="0" collapsed="false">
      <c r="A17" s="11" t="s">
        <v>194</v>
      </c>
      <c r="B17" s="13" t="s">
        <v>185</v>
      </c>
      <c r="C17" s="4" t="str">
        <f aca="false">'Grille engagement'!C17</f>
        <v>Au moins 3 participations sur 90 jours</v>
      </c>
      <c r="D17" s="13" t="n">
        <f aca="false">'Grille engagement'!D17</f>
        <v>5</v>
      </c>
      <c r="E17" s="16" t="n">
        <v>1</v>
      </c>
      <c r="F17" s="16" t="n">
        <v>0</v>
      </c>
      <c r="G17" s="13" t="n">
        <f aca="false">D17*E17</f>
        <v>5</v>
      </c>
      <c r="H17" s="13" t="n">
        <f aca="false">E17*MIN(F17,1)*D17</f>
        <v>0</v>
      </c>
    </row>
    <row r="18" customFormat="false" ht="15" hidden="false" customHeight="false" outlineLevel="0" collapsed="false">
      <c r="A18" s="11" t="s">
        <v>199</v>
      </c>
      <c r="B18" s="13" t="s">
        <v>185</v>
      </c>
      <c r="C18" s="4" t="str">
        <f aca="false">'Grille engagement'!C18</f>
        <v>Filleul dont l'acompte est encaissé</v>
      </c>
      <c r="D18" s="13" t="n">
        <f aca="false">'Grille engagement'!D18*2</f>
        <v>10</v>
      </c>
      <c r="E18" s="16" t="n">
        <v>1</v>
      </c>
      <c r="F18" s="16" t="n">
        <v>0</v>
      </c>
      <c r="G18" s="13" t="n">
        <f aca="false">D18*E18</f>
        <v>10</v>
      </c>
      <c r="H18" s="13" t="n">
        <f aca="false">E18*MIN(F18,2)*'Grille engagement'!D18</f>
        <v>0</v>
      </c>
    </row>
    <row r="19" customFormat="false" ht="15" hidden="false" customHeight="false" outlineLevel="0" collapsed="false">
      <c r="A19" s="11" t="s">
        <v>204</v>
      </c>
      <c r="B19" s="13" t="s">
        <v>185</v>
      </c>
      <c r="C19" s="4" t="str">
        <f aca="false">'Grille engagement'!C19</f>
        <v>Nouveau voyage réservé dans les 12 mois</v>
      </c>
      <c r="D19" s="13" t="n">
        <f aca="false">'Grille engagement'!D19</f>
        <v>10</v>
      </c>
      <c r="E19" s="16" t="n">
        <v>1</v>
      </c>
      <c r="F19" s="16" t="n">
        <v>0</v>
      </c>
      <c r="G19" s="13" t="n">
        <f aca="false">D19*E19</f>
        <v>10</v>
      </c>
      <c r="H19" s="13" t="n">
        <f aca="false">E19*MIN(F19,1)*D19</f>
        <v>0</v>
      </c>
    </row>
    <row r="21" customFormat="false" ht="15" hidden="false" customHeight="false" outlineLevel="0" collapsed="false">
      <c r="C21" s="2" t="s">
        <v>285</v>
      </c>
    </row>
    <row r="22" customFormat="false" ht="15" hidden="false" customHeight="false" outlineLevel="0" collapsed="false">
      <c r="A22" s="5" t="s">
        <v>274</v>
      </c>
    </row>
    <row r="23" customFormat="false" ht="15" hidden="false" customHeight="false" outlineLevel="0" collapsed="false">
      <c r="A23" s="11" t="s">
        <v>236</v>
      </c>
      <c r="C23" s="4" t="str">
        <f aca="false">'Négatifs et paliers'!C11</f>
        <v>Réclamation ouverte</v>
      </c>
      <c r="D23" s="13" t="n">
        <f aca="false">'Négatifs et paliers'!D11</f>
        <v>-10</v>
      </c>
      <c r="F23" s="16" t="n">
        <v>0</v>
      </c>
      <c r="H23" s="13" t="n">
        <f aca="false">MIN(F23,1)*D23</f>
        <v>-0</v>
      </c>
    </row>
    <row r="24" customFormat="false" ht="15" hidden="false" customHeight="false" outlineLevel="0" collapsed="false">
      <c r="A24" s="11" t="s">
        <v>241</v>
      </c>
      <c r="C24" s="4" t="str">
        <f aca="false">'Négatifs et paliers'!C12</f>
        <v>Avis public de 3 étoiles ou moins</v>
      </c>
      <c r="D24" s="13" t="n">
        <f aca="false">'Négatifs et paliers'!D12</f>
        <v>-10</v>
      </c>
      <c r="F24" s="16" t="n">
        <v>0</v>
      </c>
      <c r="H24" s="13" t="n">
        <f aca="false">MIN(F24,1)*D24</f>
        <v>-0</v>
      </c>
    </row>
    <row r="25" customFormat="false" ht="15" hidden="false" customHeight="false" outlineLevel="0" collapsed="false">
      <c r="A25" s="11" t="s">
        <v>244</v>
      </c>
      <c r="C25" s="4" t="str">
        <f aca="false">'Négatifs et paliers'!C13</f>
        <v>Mise en demeure pour le solde (J-57)</v>
      </c>
      <c r="D25" s="13" t="n">
        <f aca="false">'Négatifs et paliers'!D13</f>
        <v>-8</v>
      </c>
      <c r="F25" s="16" t="n">
        <v>0</v>
      </c>
      <c r="H25" s="13" t="n">
        <f aca="false">MIN(F25,1)*D25</f>
        <v>-0</v>
      </c>
    </row>
    <row r="26" customFormat="false" ht="15" hidden="false" customHeight="false" outlineLevel="0" collapsed="false">
      <c r="A26" s="11" t="s">
        <v>247</v>
      </c>
      <c r="C26" s="4" t="str">
        <f aca="false">'Négatifs et paliers'!C14</f>
        <v>Abonné sans activité depuis 60 jours</v>
      </c>
      <c r="D26" s="13" t="n">
        <f aca="false">'Négatifs et paliers'!D14</f>
        <v>-10</v>
      </c>
      <c r="F26" s="16" t="n">
        <v>0</v>
      </c>
      <c r="H26" s="13" t="n">
        <f aca="false">MIN(F26,1)*D26</f>
        <v>-0</v>
      </c>
    </row>
    <row r="27" customFormat="false" ht="15" hidden="false" customHeight="false" outlineLevel="0" collapsed="false">
      <c r="A27" s="11" t="s">
        <v>250</v>
      </c>
      <c r="C27" s="4" t="str">
        <f aca="false">'Négatifs et paliers'!C15</f>
        <v>Désinscription de la newsletter</v>
      </c>
      <c r="D27" s="13" t="n">
        <f aca="false">'Négatifs et paliers'!D15</f>
        <v>-5</v>
      </c>
      <c r="F27" s="16" t="n">
        <v>0</v>
      </c>
      <c r="H27" s="13" t="n">
        <f aca="false">MIN(F27,1)*D27</f>
        <v>-0</v>
      </c>
    </row>
    <row r="29" customFormat="false" ht="17.15" hidden="false" customHeight="false" outlineLevel="0" collapsed="false">
      <c r="C29" s="5" t="s">
        <v>207</v>
      </c>
      <c r="G29" s="14" t="n">
        <f aca="false">MIN(20,SUMIFS(G5:G19,B5:B19,"Avant"))</f>
        <v>20</v>
      </c>
      <c r="H29" s="14" t="n">
        <f aca="false">MIN(20,SUMIFS(H5:H19,B5:B19,"Avant"))</f>
        <v>16</v>
      </c>
    </row>
    <row r="30" customFormat="false" ht="17.15" hidden="false" customHeight="false" outlineLevel="0" collapsed="false">
      <c r="C30" s="5" t="s">
        <v>208</v>
      </c>
      <c r="G30" s="14" t="n">
        <f aca="false">MIN(20,SUMIFS(G5:G19,B5:B19,"Pendant"))</f>
        <v>20</v>
      </c>
      <c r="H30" s="14" t="n">
        <f aca="false">MIN(20,SUMIFS(H5:H19,B5:B19,"Pendant"))</f>
        <v>20</v>
      </c>
    </row>
    <row r="31" customFormat="false" ht="17.15" hidden="false" customHeight="false" outlineLevel="0" collapsed="false">
      <c r="C31" s="5" t="s">
        <v>209</v>
      </c>
      <c r="G31" s="14" t="n">
        <f aca="false">MIN(25,SUMIFS(G5:G19,B5:B19,"Après"))</f>
        <v>25</v>
      </c>
      <c r="H31" s="14" t="n">
        <f aca="false">MIN(25,SUMIFS(H5:H19,B5:B19,"Après"))</f>
        <v>25</v>
      </c>
    </row>
    <row r="32" customFormat="false" ht="17.15" hidden="false" customHeight="false" outlineLevel="0" collapsed="false">
      <c r="C32" s="5" t="s">
        <v>210</v>
      </c>
      <c r="G32" s="14" t="n">
        <f aca="false">MIN(35,SUMIFS(G5:G19,B5:B19,"Fidélité"))</f>
        <v>35</v>
      </c>
      <c r="H32" s="14" t="n">
        <f aca="false">MIN(35,SUMIFS(H5:H19,B5:B19,"Fidélité"))</f>
        <v>20</v>
      </c>
    </row>
    <row r="33" customFormat="false" ht="17.15" hidden="false" customHeight="false" outlineLevel="0" collapsed="false">
      <c r="C33" s="5" t="s">
        <v>286</v>
      </c>
      <c r="G33" s="14" t="n">
        <f aca="false">SUM(G29:G32)</f>
        <v>100</v>
      </c>
      <c r="H33" s="14" t="n">
        <f aca="false">SUM(H29:H32)</f>
        <v>81</v>
      </c>
    </row>
    <row r="34" customFormat="false" ht="17.15" hidden="false" customHeight="false" outlineLevel="0" collapsed="false">
      <c r="C34" s="5" t="s">
        <v>16</v>
      </c>
      <c r="H34" s="14" t="n">
        <f aca="false">SUM(H23:H27)</f>
        <v>0</v>
      </c>
    </row>
    <row r="35" customFormat="false" ht="17.15" hidden="false" customHeight="false" outlineLevel="0" collapsed="false">
      <c r="C35" s="5" t="s">
        <v>287</v>
      </c>
      <c r="H35" s="14" t="n">
        <f aca="false">IF(G33=0,0,ROUND(MAX(0,MIN(100,(H33+H34)/G33*100)),0))</f>
        <v>81</v>
      </c>
    </row>
    <row r="36" customFormat="false" ht="17.15" hidden="false" customHeight="false" outlineLevel="0" collapsed="false">
      <c r="C36" s="5" t="s">
        <v>280</v>
      </c>
      <c r="H36" s="14" t="str">
        <f aca="false">LOOKUP(H35,'Négatifs et paliers'!$D$29:$D$32,'Négatifs et paliers'!$E$29:$E$32)</f>
        <v>Fidèle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1A2E"/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288</v>
      </c>
    </row>
    <row r="2" customFormat="false" ht="15" hidden="false" customHeight="false" outlineLevel="0" collapsed="false">
      <c r="A2" s="2" t="s">
        <v>289</v>
      </c>
    </row>
    <row r="4" customFormat="false" ht="15" hidden="false" customHeight="false" outlineLevel="0" collapsed="false">
      <c r="A4" s="10" t="s">
        <v>290</v>
      </c>
      <c r="B4" s="10" t="s">
        <v>291</v>
      </c>
      <c r="C4" s="10" t="s">
        <v>292</v>
      </c>
      <c r="D4" s="10" t="s">
        <v>293</v>
      </c>
      <c r="E4" s="10" t="s">
        <v>294</v>
      </c>
      <c r="F4" s="10" t="s">
        <v>33</v>
      </c>
    </row>
    <row r="5" customFormat="false" ht="15" hidden="false" customHeight="false" outlineLevel="0" collapsed="false">
      <c r="A5" s="3" t="s">
        <v>295</v>
      </c>
      <c r="B5" s="4" t="s">
        <v>296</v>
      </c>
      <c r="C5" s="4" t="s">
        <v>297</v>
      </c>
      <c r="D5" s="13" t="s">
        <v>78</v>
      </c>
      <c r="E5" s="4" t="s">
        <v>298</v>
      </c>
      <c r="F5" s="13" t="s">
        <v>49</v>
      </c>
    </row>
    <row r="6" customFormat="false" ht="29.85" hidden="false" customHeight="false" outlineLevel="0" collapsed="false">
      <c r="A6" s="3" t="s">
        <v>295</v>
      </c>
      <c r="B6" s="4" t="s">
        <v>299</v>
      </c>
      <c r="C6" s="4" t="s">
        <v>300</v>
      </c>
      <c r="D6" s="13" t="s">
        <v>78</v>
      </c>
      <c r="E6" s="4" t="s">
        <v>35</v>
      </c>
      <c r="F6" s="13" t="s">
        <v>49</v>
      </c>
    </row>
    <row r="7" customFormat="false" ht="44" hidden="false" customHeight="false" outlineLevel="0" collapsed="false">
      <c r="A7" s="3" t="s">
        <v>295</v>
      </c>
      <c r="B7" s="4" t="s">
        <v>301</v>
      </c>
      <c r="C7" s="4" t="s">
        <v>302</v>
      </c>
      <c r="D7" s="13" t="s">
        <v>78</v>
      </c>
      <c r="E7" s="4" t="s">
        <v>303</v>
      </c>
      <c r="F7" s="13" t="s">
        <v>49</v>
      </c>
    </row>
    <row r="8" customFormat="false" ht="29.85" hidden="false" customHeight="false" outlineLevel="0" collapsed="false">
      <c r="A8" s="3" t="s">
        <v>295</v>
      </c>
      <c r="B8" s="4" t="s">
        <v>304</v>
      </c>
      <c r="C8" s="4" t="s">
        <v>305</v>
      </c>
      <c r="D8" s="13" t="s">
        <v>306</v>
      </c>
      <c r="E8" s="4" t="s">
        <v>307</v>
      </c>
      <c r="F8" s="13" t="s">
        <v>202</v>
      </c>
    </row>
    <row r="9" customFormat="false" ht="15" hidden="false" customHeight="false" outlineLevel="0" collapsed="false">
      <c r="A9" s="3" t="s">
        <v>295</v>
      </c>
      <c r="B9" s="4" t="s">
        <v>308</v>
      </c>
      <c r="C9" s="4" t="s">
        <v>309</v>
      </c>
      <c r="D9" s="13" t="s">
        <v>78</v>
      </c>
      <c r="E9" s="4" t="s">
        <v>310</v>
      </c>
      <c r="F9" s="13" t="s">
        <v>49</v>
      </c>
    </row>
    <row r="10" customFormat="false" ht="15" hidden="false" customHeight="false" outlineLevel="0" collapsed="false">
      <c r="A10" s="3" t="s">
        <v>295</v>
      </c>
      <c r="B10" s="4" t="s">
        <v>311</v>
      </c>
      <c r="C10" s="4" t="s">
        <v>312</v>
      </c>
      <c r="D10" s="13" t="s">
        <v>38</v>
      </c>
      <c r="E10" s="4" t="s">
        <v>53</v>
      </c>
      <c r="F10" s="13" t="s">
        <v>44</v>
      </c>
    </row>
    <row r="11" customFormat="false" ht="15" hidden="false" customHeight="false" outlineLevel="0" collapsed="false">
      <c r="A11" s="3" t="s">
        <v>295</v>
      </c>
      <c r="B11" s="4" t="s">
        <v>313</v>
      </c>
      <c r="C11" s="4" t="s">
        <v>314</v>
      </c>
      <c r="D11" s="13" t="s">
        <v>38</v>
      </c>
      <c r="E11" s="4" t="s">
        <v>56</v>
      </c>
      <c r="F11" s="13" t="s">
        <v>58</v>
      </c>
    </row>
    <row r="12" customFormat="false" ht="15" hidden="false" customHeight="false" outlineLevel="0" collapsed="false">
      <c r="A12" s="3" t="s">
        <v>295</v>
      </c>
      <c r="B12" s="4" t="s">
        <v>315</v>
      </c>
      <c r="C12" s="4" t="s">
        <v>316</v>
      </c>
      <c r="D12" s="13" t="s">
        <v>38</v>
      </c>
      <c r="E12" s="4" t="s">
        <v>61</v>
      </c>
      <c r="F12" s="13" t="s">
        <v>58</v>
      </c>
    </row>
    <row r="13" customFormat="false" ht="15" hidden="false" customHeight="false" outlineLevel="0" collapsed="false">
      <c r="A13" s="3" t="s">
        <v>295</v>
      </c>
      <c r="B13" s="4" t="s">
        <v>317</v>
      </c>
      <c r="C13" s="4" t="s">
        <v>318</v>
      </c>
      <c r="D13" s="13" t="s">
        <v>38</v>
      </c>
      <c r="E13" s="4" t="s">
        <v>310</v>
      </c>
      <c r="F13" s="13" t="s">
        <v>58</v>
      </c>
    </row>
    <row r="14" customFormat="false" ht="15" hidden="false" customHeight="false" outlineLevel="0" collapsed="false">
      <c r="A14" s="3" t="s">
        <v>295</v>
      </c>
      <c r="B14" s="4" t="s">
        <v>319</v>
      </c>
      <c r="C14" s="4" t="s">
        <v>320</v>
      </c>
      <c r="D14" s="13" t="s">
        <v>38</v>
      </c>
      <c r="E14" s="4" t="s">
        <v>83</v>
      </c>
      <c r="F14" s="13" t="s">
        <v>85</v>
      </c>
    </row>
    <row r="15" customFormat="false" ht="58.2" hidden="false" customHeight="false" outlineLevel="0" collapsed="false">
      <c r="A15" s="3" t="s">
        <v>295</v>
      </c>
      <c r="B15" s="4" t="s">
        <v>321</v>
      </c>
      <c r="C15" s="4" t="s">
        <v>322</v>
      </c>
      <c r="D15" s="13" t="s">
        <v>78</v>
      </c>
      <c r="E15" s="4" t="s">
        <v>323</v>
      </c>
      <c r="F15" s="13" t="s">
        <v>324</v>
      </c>
    </row>
    <row r="16" customFormat="false" ht="15" hidden="false" customHeight="false" outlineLevel="0" collapsed="false">
      <c r="A16" s="3" t="s">
        <v>295</v>
      </c>
      <c r="B16" s="4" t="s">
        <v>325</v>
      </c>
      <c r="C16" s="4" t="s">
        <v>326</v>
      </c>
      <c r="D16" s="13" t="s">
        <v>78</v>
      </c>
      <c r="E16" s="4" t="s">
        <v>310</v>
      </c>
      <c r="F16" s="13" t="s">
        <v>49</v>
      </c>
    </row>
    <row r="17" customFormat="false" ht="29.85" hidden="false" customHeight="false" outlineLevel="0" collapsed="false">
      <c r="A17" s="3" t="s">
        <v>295</v>
      </c>
      <c r="B17" s="4" t="s">
        <v>327</v>
      </c>
      <c r="C17" s="4" t="s">
        <v>328</v>
      </c>
      <c r="D17" s="13" t="s">
        <v>329</v>
      </c>
      <c r="E17" s="4" t="s">
        <v>330</v>
      </c>
      <c r="F17" s="13" t="s">
        <v>310</v>
      </c>
    </row>
    <row r="18" customFormat="false" ht="15" hidden="false" customHeight="false" outlineLevel="0" collapsed="false">
      <c r="A18" s="3" t="s">
        <v>295</v>
      </c>
      <c r="B18" s="4" t="s">
        <v>331</v>
      </c>
      <c r="C18" s="4" t="s">
        <v>328</v>
      </c>
      <c r="D18" s="13" t="s">
        <v>329</v>
      </c>
      <c r="E18" s="4" t="s">
        <v>330</v>
      </c>
      <c r="F18" s="13" t="s">
        <v>310</v>
      </c>
    </row>
    <row r="19" customFormat="false" ht="15" hidden="false" customHeight="false" outlineLevel="0" collapsed="false">
      <c r="A19" s="3" t="s">
        <v>332</v>
      </c>
      <c r="B19" s="4" t="s">
        <v>333</v>
      </c>
      <c r="C19" s="4" t="s">
        <v>334</v>
      </c>
      <c r="D19" s="13" t="s">
        <v>78</v>
      </c>
      <c r="E19" s="4" t="s">
        <v>335</v>
      </c>
      <c r="F19" s="13" t="s">
        <v>324</v>
      </c>
    </row>
    <row r="20" customFormat="false" ht="29.85" hidden="false" customHeight="false" outlineLevel="0" collapsed="false">
      <c r="A20" s="3" t="s">
        <v>332</v>
      </c>
      <c r="B20" s="4" t="s">
        <v>336</v>
      </c>
      <c r="C20" s="4" t="s">
        <v>337</v>
      </c>
      <c r="D20" s="13" t="s">
        <v>78</v>
      </c>
      <c r="E20" s="4" t="s">
        <v>330</v>
      </c>
      <c r="F20" s="13" t="s">
        <v>324</v>
      </c>
    </row>
    <row r="21" customFormat="false" ht="15" hidden="false" customHeight="false" outlineLevel="0" collapsed="false">
      <c r="A21" s="3" t="s">
        <v>332</v>
      </c>
      <c r="B21" s="4" t="s">
        <v>338</v>
      </c>
      <c r="C21" s="4" t="s">
        <v>339</v>
      </c>
      <c r="D21" s="13" t="s">
        <v>340</v>
      </c>
      <c r="E21" s="4" t="s">
        <v>341</v>
      </c>
      <c r="F21" s="13" t="s">
        <v>342</v>
      </c>
    </row>
    <row r="22" customFormat="false" ht="29.85" hidden="false" customHeight="false" outlineLevel="0" collapsed="false">
      <c r="A22" s="3" t="s">
        <v>343</v>
      </c>
      <c r="B22" s="4" t="s">
        <v>344</v>
      </c>
      <c r="C22" s="4" t="s">
        <v>345</v>
      </c>
      <c r="D22" s="13" t="s">
        <v>78</v>
      </c>
      <c r="E22" s="4" t="s">
        <v>346</v>
      </c>
      <c r="F22" s="13" t="s">
        <v>347</v>
      </c>
    </row>
    <row r="23" customFormat="false" ht="15" hidden="false" customHeight="false" outlineLevel="0" collapsed="false">
      <c r="A23" s="3" t="s">
        <v>348</v>
      </c>
      <c r="B23" s="4" t="s">
        <v>349</v>
      </c>
      <c r="C23" s="4" t="s">
        <v>350</v>
      </c>
      <c r="D23" s="13" t="s">
        <v>78</v>
      </c>
      <c r="E23" s="4" t="s">
        <v>351</v>
      </c>
      <c r="F23" s="13" t="s">
        <v>82</v>
      </c>
    </row>
    <row r="24" customFormat="false" ht="29.85" hidden="false" customHeight="false" outlineLevel="0" collapsed="false">
      <c r="A24" s="3" t="s">
        <v>352</v>
      </c>
      <c r="B24" s="4" t="s">
        <v>353</v>
      </c>
      <c r="C24" s="4" t="s">
        <v>354</v>
      </c>
      <c r="D24" s="13" t="s">
        <v>78</v>
      </c>
      <c r="E24" s="4" t="s">
        <v>355</v>
      </c>
      <c r="F24" s="13" t="s">
        <v>356</v>
      </c>
    </row>
    <row r="25" customFormat="false" ht="15" hidden="false" customHeight="false" outlineLevel="0" collapsed="false">
      <c r="A25" s="3" t="s">
        <v>352</v>
      </c>
      <c r="B25" s="4" t="s">
        <v>357</v>
      </c>
      <c r="C25" s="4" t="s">
        <v>316</v>
      </c>
      <c r="D25" s="13" t="s">
        <v>78</v>
      </c>
      <c r="E25" s="4" t="s">
        <v>61</v>
      </c>
      <c r="F25" s="13" t="s">
        <v>356</v>
      </c>
    </row>
    <row r="26" customFormat="false" ht="15" hidden="false" customHeight="false" outlineLevel="0" collapsed="false">
      <c r="A26" s="3" t="s">
        <v>352</v>
      </c>
      <c r="B26" s="4" t="s">
        <v>358</v>
      </c>
      <c r="C26" s="4" t="s">
        <v>359</v>
      </c>
      <c r="D26" s="13" t="s">
        <v>78</v>
      </c>
      <c r="E26" s="4" t="s">
        <v>360</v>
      </c>
      <c r="F26" s="13" t="s">
        <v>117</v>
      </c>
    </row>
    <row r="27" customFormat="false" ht="15" hidden="false" customHeight="false" outlineLevel="0" collapsed="false">
      <c r="A27" s="3" t="s">
        <v>352</v>
      </c>
      <c r="B27" s="4" t="s">
        <v>361</v>
      </c>
      <c r="C27" s="4" t="s">
        <v>362</v>
      </c>
      <c r="D27" s="13" t="s">
        <v>78</v>
      </c>
      <c r="E27" s="4" t="s">
        <v>363</v>
      </c>
      <c r="F27" s="13" t="s">
        <v>364</v>
      </c>
    </row>
    <row r="28" customFormat="false" ht="15" hidden="false" customHeight="false" outlineLevel="0" collapsed="false">
      <c r="A28" s="3" t="s">
        <v>365</v>
      </c>
      <c r="B28" s="4" t="s">
        <v>366</v>
      </c>
      <c r="C28" s="4" t="s">
        <v>367</v>
      </c>
      <c r="D28" s="13" t="s">
        <v>78</v>
      </c>
      <c r="E28" s="4" t="s">
        <v>368</v>
      </c>
      <c r="F28" s="13" t="s">
        <v>192</v>
      </c>
    </row>
    <row r="29" customFormat="false" ht="29.85" hidden="false" customHeight="false" outlineLevel="0" collapsed="false">
      <c r="A29" s="3" t="s">
        <v>369</v>
      </c>
      <c r="B29" s="4" t="s">
        <v>370</v>
      </c>
      <c r="C29" s="4" t="s">
        <v>371</v>
      </c>
      <c r="D29" s="13" t="s">
        <v>78</v>
      </c>
      <c r="E29" s="4" t="s">
        <v>372</v>
      </c>
      <c r="F29" s="13" t="s">
        <v>373</v>
      </c>
    </row>
    <row r="30" customFormat="false" ht="15" hidden="false" customHeight="false" outlineLevel="0" collapsed="false">
      <c r="A30" s="3" t="s">
        <v>369</v>
      </c>
      <c r="B30" s="4" t="s">
        <v>374</v>
      </c>
      <c r="C30" s="4" t="s">
        <v>375</v>
      </c>
      <c r="D30" s="13" t="s">
        <v>78</v>
      </c>
      <c r="E30" s="4" t="s">
        <v>376</v>
      </c>
      <c r="F30" s="13" t="s">
        <v>377</v>
      </c>
    </row>
    <row r="31" customFormat="false" ht="29.85" hidden="false" customHeight="false" outlineLevel="0" collapsed="false">
      <c r="A31" s="3" t="s">
        <v>369</v>
      </c>
      <c r="B31" s="4" t="s">
        <v>378</v>
      </c>
      <c r="C31" s="4" t="s">
        <v>379</v>
      </c>
      <c r="D31" s="13" t="s">
        <v>78</v>
      </c>
      <c r="E31" s="4" t="s">
        <v>380</v>
      </c>
      <c r="F31" s="13" t="s">
        <v>161</v>
      </c>
    </row>
    <row r="32" customFormat="false" ht="29.85" hidden="false" customHeight="false" outlineLevel="0" collapsed="false">
      <c r="A32" s="3" t="s">
        <v>369</v>
      </c>
      <c r="B32" s="4" t="s">
        <v>381</v>
      </c>
      <c r="C32" s="4" t="s">
        <v>382</v>
      </c>
      <c r="D32" s="13" t="s">
        <v>78</v>
      </c>
      <c r="E32" s="4" t="s">
        <v>383</v>
      </c>
      <c r="F32" s="13" t="s">
        <v>177</v>
      </c>
    </row>
    <row r="33" customFormat="false" ht="29.85" hidden="false" customHeight="false" outlineLevel="0" collapsed="false">
      <c r="A33" s="3" t="s">
        <v>384</v>
      </c>
      <c r="B33" s="4" t="s">
        <v>385</v>
      </c>
      <c r="C33" s="4" t="s">
        <v>386</v>
      </c>
      <c r="D33" s="13" t="s">
        <v>78</v>
      </c>
      <c r="E33" s="4" t="s">
        <v>184</v>
      </c>
      <c r="F33" s="13" t="s">
        <v>188</v>
      </c>
    </row>
    <row r="34" customFormat="false" ht="29.85" hidden="false" customHeight="false" outlineLevel="0" collapsed="false">
      <c r="A34" s="3" t="s">
        <v>387</v>
      </c>
      <c r="B34" s="4" t="s">
        <v>388</v>
      </c>
      <c r="C34" s="4" t="s">
        <v>386</v>
      </c>
      <c r="D34" s="13" t="s">
        <v>78</v>
      </c>
      <c r="E34" s="4" t="s">
        <v>389</v>
      </c>
      <c r="F34" s="13" t="s">
        <v>239</v>
      </c>
    </row>
    <row r="35" customFormat="false" ht="29.85" hidden="false" customHeight="false" outlineLevel="0" collapsed="false">
      <c r="A35" s="3" t="s">
        <v>390</v>
      </c>
      <c r="B35" s="4" t="s">
        <v>391</v>
      </c>
      <c r="C35" s="4" t="s">
        <v>392</v>
      </c>
      <c r="D35" s="13" t="s">
        <v>78</v>
      </c>
      <c r="E35" s="4" t="s">
        <v>393</v>
      </c>
      <c r="F35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2026-10-12T13:41:33Z</dcterms:created>
  <dc:creator>openpyxl</dc:creator>
  <dc:description/>
  <dc:language>en-US</dc:language>
  <cp:lastModifiedBy/>
  <dcterms:modified xsi:type="dcterms:W3CDTF">2026-10-12T13:41:33Z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